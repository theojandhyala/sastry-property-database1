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showInkAnnotation="0"/>
  <xr:revisionPtr revIDLastSave="0" documentId="11_76A909BB22F94950B20057A97A0D38499433198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Landlords" sheetId="2" r:id="rId2"/>
    <sheet name="Properties" sheetId="3" r:id="rId3"/>
    <sheet name="Tenants" sheetId="4" r:id="rId4"/>
    <sheet name="Tenancies" sheetId="5" r:id="rId5"/>
    <sheet name="Rent Payments" sheetId="6" r:id="rId6"/>
    <sheet name="Maintenance" sheetId="7" r:id="rId7"/>
    <sheet name="Certificates" sheetId="8" r:id="rId8"/>
    <sheet name="Mortgages" sheetId="9" r:id="rId9"/>
    <sheet name="Contractors" sheetId="10" r:id="rId10"/>
    <sheet name="Lists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6" l="1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9" i="5"/>
  <c r="F9" i="5"/>
  <c r="G9" i="5"/>
  <c r="J8" i="5"/>
  <c r="F8" i="5"/>
  <c r="G8" i="5"/>
  <c r="J7" i="5"/>
  <c r="F7" i="5"/>
  <c r="G7" i="5"/>
  <c r="J6" i="5"/>
  <c r="F6" i="5"/>
  <c r="G6" i="5"/>
  <c r="J5" i="5"/>
  <c r="F5" i="5"/>
  <c r="G5" i="5"/>
  <c r="J4" i="5"/>
  <c r="F4" i="5"/>
  <c r="G4" i="5"/>
  <c r="J3" i="5"/>
  <c r="F3" i="5"/>
  <c r="G3" i="5"/>
  <c r="J2" i="5"/>
  <c r="F2" i="5"/>
  <c r="G2" i="5"/>
  <c r="K11" i="3"/>
  <c r="K10" i="3"/>
  <c r="K9" i="3"/>
  <c r="K8" i="3"/>
  <c r="K7" i="3"/>
  <c r="K6" i="3"/>
  <c r="K5" i="3"/>
  <c r="K4" i="3"/>
  <c r="K3" i="3"/>
  <c r="K2" i="3"/>
  <c r="F13" i="1"/>
  <c r="E13" i="1"/>
  <c r="D13" i="1"/>
  <c r="F12" i="1"/>
  <c r="E12" i="1"/>
  <c r="D12" i="1"/>
  <c r="F11" i="1"/>
  <c r="E11" i="1"/>
  <c r="D11" i="1"/>
  <c r="F10" i="1"/>
  <c r="E10" i="1"/>
  <c r="D10" i="1"/>
  <c r="B10" i="1"/>
  <c r="F9" i="1"/>
  <c r="E9" i="1"/>
  <c r="D9" i="1"/>
  <c r="B9" i="1"/>
  <c r="F8" i="1"/>
  <c r="E8" i="1"/>
  <c r="D8" i="1"/>
  <c r="B8" i="1"/>
  <c r="F7" i="1"/>
  <c r="E7" i="1"/>
  <c r="D7" i="1"/>
  <c r="B7" i="1"/>
  <c r="F6" i="1"/>
  <c r="E6" i="1"/>
  <c r="D6" i="1"/>
  <c r="B6" i="1"/>
  <c r="F5" i="1"/>
  <c r="E5" i="1"/>
  <c r="D5" i="1"/>
  <c r="B5" i="1"/>
  <c r="F4" i="1"/>
  <c r="E4" i="1"/>
  <c r="D4" i="1"/>
  <c r="B4" i="1"/>
</calcChain>
</file>

<file path=xl/sharedStrings.xml><?xml version="1.0" encoding="utf-8"?>
<sst xmlns="http://schemas.openxmlformats.org/spreadsheetml/2006/main" count="682" uniqueCount="291">
  <si>
    <t>Landlord Portfolio Dashboard - 10 Properties</t>
  </si>
  <si>
    <t>Metric</t>
  </si>
  <si>
    <t>Value</t>
  </si>
  <si>
    <t>PropertyID</t>
  </si>
  <si>
    <t>Monthly Rent</t>
  </si>
  <si>
    <t>Status</t>
  </si>
  <si>
    <t>Total Properties</t>
  </si>
  <si>
    <t>Available Properties</t>
  </si>
  <si>
    <t>Monthly Rent Roll</t>
  </si>
  <si>
    <t>Annual Rent Roll</t>
  </si>
  <si>
    <t>Current Arrears</t>
  </si>
  <si>
    <t>Open Maintenance</t>
  </si>
  <si>
    <t>LandlordID</t>
  </si>
  <si>
    <t>Name</t>
  </si>
  <si>
    <t>Phone</t>
  </si>
  <si>
    <t>Email</t>
  </si>
  <si>
    <t>Address</t>
  </si>
  <si>
    <t>Notes</t>
  </si>
  <si>
    <t>L001</t>
  </si>
  <si>
    <t>Main Landlord</t>
  </si>
  <si>
    <t>07123 456789</t>
  </si>
  <si>
    <t>landlord@email.com</t>
  </si>
  <si>
    <t>Reading / UK</t>
  </si>
  <si>
    <t>Portfolio of 10 properties</t>
  </si>
  <si>
    <t>Town/City</t>
  </si>
  <si>
    <t>Postcode</t>
  </si>
  <si>
    <t>Type</t>
  </si>
  <si>
    <t>Bedrooms</t>
  </si>
  <si>
    <t>MortgageID</t>
  </si>
  <si>
    <t>Annual Rent</t>
  </si>
  <si>
    <t>P001</t>
  </si>
  <si>
    <t>1 High Street</t>
  </si>
  <si>
    <t>Reading</t>
  </si>
  <si>
    <t>RG1 1AA</t>
  </si>
  <si>
    <t>Flat</t>
  </si>
  <si>
    <t>Occupied</t>
  </si>
  <si>
    <t>M001</t>
  </si>
  <si>
    <t>P002</t>
  </si>
  <si>
    <t>2 High Street</t>
  </si>
  <si>
    <t>RG2 1AA</t>
  </si>
  <si>
    <t>House</t>
  </si>
  <si>
    <t>M002</t>
  </si>
  <si>
    <t>P003</t>
  </si>
  <si>
    <t>3 High Street</t>
  </si>
  <si>
    <t>RG3 1AA</t>
  </si>
  <si>
    <t>M003</t>
  </si>
  <si>
    <t>P004</t>
  </si>
  <si>
    <t>4 High Street</t>
  </si>
  <si>
    <t>RG4 1AA</t>
  </si>
  <si>
    <t>M004</t>
  </si>
  <si>
    <t>P005</t>
  </si>
  <si>
    <t>5 High Street</t>
  </si>
  <si>
    <t>RG5 1AA</t>
  </si>
  <si>
    <t>M005</t>
  </si>
  <si>
    <t>P006</t>
  </si>
  <si>
    <t>6 High Street</t>
  </si>
  <si>
    <t>RG6 1AA</t>
  </si>
  <si>
    <t>M006</t>
  </si>
  <si>
    <t>P007</t>
  </si>
  <si>
    <t>7 High Street</t>
  </si>
  <si>
    <t>RG7 1AA</t>
  </si>
  <si>
    <t>M007</t>
  </si>
  <si>
    <t>P008</t>
  </si>
  <si>
    <t>8 High Street</t>
  </si>
  <si>
    <t>RG8 1AA</t>
  </si>
  <si>
    <t>M008</t>
  </si>
  <si>
    <t>P009</t>
  </si>
  <si>
    <t>9 High Street</t>
  </si>
  <si>
    <t>RG9 1AA</t>
  </si>
  <si>
    <t>Available</t>
  </si>
  <si>
    <t>M009</t>
  </si>
  <si>
    <t>P010</t>
  </si>
  <si>
    <t>10 High Street</t>
  </si>
  <si>
    <t>RG10 1AA</t>
  </si>
  <si>
    <t>M010</t>
  </si>
  <si>
    <t>TenantID</t>
  </si>
  <si>
    <t>Emergency Contact</t>
  </si>
  <si>
    <t>T001</t>
  </si>
  <si>
    <t>Sarah Jones</t>
  </si>
  <si>
    <t>07111 111111</t>
  </si>
  <si>
    <t>sarah.jones@email.com</t>
  </si>
  <si>
    <t>T002</t>
  </si>
  <si>
    <t>David Brown</t>
  </si>
  <si>
    <t>07222 222222</t>
  </si>
  <si>
    <t>david.brown@email.com</t>
  </si>
  <si>
    <t>T003</t>
  </si>
  <si>
    <t>Aisha Khan</t>
  </si>
  <si>
    <t>07333 333333</t>
  </si>
  <si>
    <t>aisha.khan@email.com</t>
  </si>
  <si>
    <t>T004</t>
  </si>
  <si>
    <t>Michael Lee</t>
  </si>
  <si>
    <t>07444 444444</t>
  </si>
  <si>
    <t>michael.lee@email.com</t>
  </si>
  <si>
    <t>T005</t>
  </si>
  <si>
    <t>Priya Patel</t>
  </si>
  <si>
    <t>07555 555555</t>
  </si>
  <si>
    <t>priya.patel@email.com</t>
  </si>
  <si>
    <t>T006</t>
  </si>
  <si>
    <t>James Wilson</t>
  </si>
  <si>
    <t>07666 666666</t>
  </si>
  <si>
    <t>james.wilson@email.com</t>
  </si>
  <si>
    <t>T007</t>
  </si>
  <si>
    <t>Emma Taylor</t>
  </si>
  <si>
    <t>07777 777777</t>
  </si>
  <si>
    <t>emma.taylor@email.com</t>
  </si>
  <si>
    <t>T008</t>
  </si>
  <si>
    <t>Mohammed Ali</t>
  </si>
  <si>
    <t>07888 888888</t>
  </si>
  <si>
    <t>mohammed.ali@email.com</t>
  </si>
  <si>
    <t>T009</t>
  </si>
  <si>
    <t>Vacant</t>
  </si>
  <si>
    <t>T010</t>
  </si>
  <si>
    <t>TenancyID</t>
  </si>
  <si>
    <t>Start Date</t>
  </si>
  <si>
    <t>End Date</t>
  </si>
  <si>
    <t>Deposit</t>
  </si>
  <si>
    <t>Deposit Protected?</t>
  </si>
  <si>
    <t>Days to End</t>
  </si>
  <si>
    <t>TN001</t>
  </si>
  <si>
    <t>Yes</t>
  </si>
  <si>
    <t>Active</t>
  </si>
  <si>
    <t>TN002</t>
  </si>
  <si>
    <t>TN003</t>
  </si>
  <si>
    <t>TN004</t>
  </si>
  <si>
    <t>TN005</t>
  </si>
  <si>
    <t>TN006</t>
  </si>
  <si>
    <t>TN007</t>
  </si>
  <si>
    <t>TN008</t>
  </si>
  <si>
    <t>PaymentID</t>
  </si>
  <si>
    <t>Due Date</t>
  </si>
  <si>
    <t>Paid Date</t>
  </si>
  <si>
    <t>Amount Due</t>
  </si>
  <si>
    <t>Amount Paid</t>
  </si>
  <si>
    <t>Arrears</t>
  </si>
  <si>
    <t>Month</t>
  </si>
  <si>
    <t>R0001</t>
  </si>
  <si>
    <t>Paid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</si>
  <si>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</si>
  <si>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</si>
  <si>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</si>
  <si>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</si>
  <si>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</si>
  <si>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</si>
  <si>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</si>
  <si>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</si>
  <si>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</si>
  <si>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</si>
  <si>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</si>
  <si>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</si>
  <si>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</si>
  <si>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</si>
  <si>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</si>
  <si>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</si>
  <si>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</si>
  <si>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</si>
  <si>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</si>
  <si>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</si>
  <si>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</si>
  <si>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</si>
  <si>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</si>
  <si>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</si>
  <si>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</si>
  <si>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</si>
  <si>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</si>
  <si>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</si>
  <si>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</si>
  <si>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</si>
  <si>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</si>
  <si>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</si>
  <si>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</si>
  <si>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Partial</t>
  </si>
  <si>
    <t>R0035</t>
  </si>
  <si>
    <t>R0036</t>
  </si>
  <si>
    <t>R0037</t>
  </si>
  <si>
    <t>R0038</t>
  </si>
  <si>
    <t>Late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</si>
  <si>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</si>
  <si>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</si>
  <si>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</si>
  <si>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</si>
  <si>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</si>
  <si>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</si>
  <si>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</si>
  <si>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</si>
  <si>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</si>
  <si>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</si>
  <si>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MaintenanceID</t>
  </si>
  <si>
    <t>Reported Date</t>
  </si>
  <si>
    <t>Description</t>
  </si>
  <si>
    <t>ContractorID</t>
  </si>
  <si>
    <t>Priority</t>
  </si>
  <si>
    <t>Cost Estimate</t>
  </si>
  <si>
    <t>Actual Cost</t>
  </si>
  <si>
    <t>Completed Date</t>
  </si>
  <si>
    <t>Boiler service</t>
  </si>
  <si>
    <t>C001</t>
  </si>
  <si>
    <t>Medium</t>
  </si>
  <si>
    <t>Completed</t>
  </si>
  <si>
    <t>Plumbing repair</t>
  </si>
  <si>
    <t>C002</t>
  </si>
  <si>
    <t>High</t>
  </si>
  <si>
    <t>Roof leak check</t>
  </si>
  <si>
    <t>C003</t>
  </si>
  <si>
    <t>Open</t>
  </si>
  <si>
    <t>Garden fence repair</t>
  </si>
  <si>
    <t>C004</t>
  </si>
  <si>
    <t>Low</t>
  </si>
  <si>
    <t>In Progress</t>
  </si>
  <si>
    <t>CertificateID</t>
  </si>
  <si>
    <t>Certificate Type</t>
  </si>
  <si>
    <t>Issue Date</t>
  </si>
  <si>
    <t>Expiry Date</t>
  </si>
  <si>
    <t>Provider</t>
  </si>
  <si>
    <t>Cost</t>
  </si>
  <si>
    <t>Document Link</t>
  </si>
  <si>
    <t>CF0001</t>
  </si>
  <si>
    <t>EPC</t>
  </si>
  <si>
    <t>Valid</t>
  </si>
  <si>
    <t>CF0002</t>
  </si>
  <si>
    <t>Gas Safety</t>
  </si>
  <si>
    <t>CF0003</t>
  </si>
  <si>
    <t>EICR</t>
  </si>
  <si>
    <t>CF0004</t>
  </si>
  <si>
    <t>CF0005</t>
  </si>
  <si>
    <t>CF0006</t>
  </si>
  <si>
    <t>CF0007</t>
  </si>
  <si>
    <t>CF0008</t>
  </si>
  <si>
    <t>CF0009</t>
  </si>
  <si>
    <t>CF0010</t>
  </si>
  <si>
    <t>CF0011</t>
  </si>
  <si>
    <t>CF0012</t>
  </si>
  <si>
    <t>CF0013</t>
  </si>
  <si>
    <t>CF0014</t>
  </si>
  <si>
    <t>CF0015</t>
  </si>
  <si>
    <t>CF0016</t>
  </si>
  <si>
    <t>CF0017</t>
  </si>
  <si>
    <t>CF0018</t>
  </si>
  <si>
    <t>CF0019</t>
  </si>
  <si>
    <t>CF0020</t>
  </si>
  <si>
    <t>CF0021</t>
  </si>
  <si>
    <t>CF0022</t>
  </si>
  <si>
    <t>CF0023</t>
  </si>
  <si>
    <t>CF0024</t>
  </si>
  <si>
    <t>CF0025</t>
  </si>
  <si>
    <t>CF0026</t>
  </si>
  <si>
    <t>CF0027</t>
  </si>
  <si>
    <t>CF0028</t>
  </si>
  <si>
    <t>CF0029</t>
  </si>
  <si>
    <t>CF0030</t>
  </si>
  <si>
    <t>Lender</t>
  </si>
  <si>
    <t>Balance</t>
  </si>
  <si>
    <t>Monthly Payment</t>
  </si>
  <si>
    <t>Interest Rate</t>
  </si>
  <si>
    <t>Fixed Until</t>
  </si>
  <si>
    <t>Bank / Lender</t>
  </si>
  <si>
    <t>Company/Name</t>
  </si>
  <si>
    <t>Trade</t>
  </si>
  <si>
    <t>Area</t>
  </si>
  <si>
    <t>Insurance Checked?</t>
  </si>
  <si>
    <t>ABC Gas Services</t>
  </si>
  <si>
    <t>Gas engineer</t>
  </si>
  <si>
    <t>Rapid Plumbing</t>
  </si>
  <si>
    <t>Plumber</t>
  </si>
  <si>
    <t>RoofCare</t>
  </si>
  <si>
    <t>Roofer</t>
  </si>
  <si>
    <t>No</t>
  </si>
  <si>
    <t>GardenFix</t>
  </si>
  <si>
    <t>Gardener/Fencing</t>
  </si>
  <si>
    <t>Property Type</t>
  </si>
  <si>
    <t>Tenancy Status</t>
  </si>
  <si>
    <t>Payment Status</t>
  </si>
  <si>
    <t>Maintenance Status</t>
  </si>
  <si>
    <t>Certificate Status</t>
  </si>
  <si>
    <t>Ending Soon</t>
  </si>
  <si>
    <t>Due</t>
  </si>
  <si>
    <t>Expiring Soon</t>
  </si>
  <si>
    <t>HMO</t>
  </si>
  <si>
    <t>Maintenance</t>
  </si>
  <si>
    <t>Ended</t>
  </si>
  <si>
    <t>Expired</t>
  </si>
  <si>
    <t>Studio</t>
  </si>
  <si>
    <t>Notice Given</t>
  </si>
  <si>
    <t>Prospect</t>
  </si>
  <si>
    <t>Deferred</t>
  </si>
  <si>
    <t>Landlord Insurance</t>
  </si>
  <si>
    <t>Not Required</t>
  </si>
  <si>
    <t>Commercial</t>
  </si>
  <si>
    <t>Under Offer</t>
  </si>
  <si>
    <t>HMO Licence</t>
  </si>
  <si>
    <t>Smoke Alarm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</si>
</sst>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3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4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Rent</c:v>
          </c:tx>
          <c:invertIfNegative val="1"/>
          <c:cat>
            <c:strRef>
              <c:f>Dashboard!$D$4:$D$13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</c:strCache>
            </c:strRef>
          </c:cat>
          <c:val>
            <c:numRef>
              <c:f>Dashboard!$E$4:$E$13</c:f>
              <c:numCache>
                <c:formatCode>\£#,##0</c:formatCode>
                <c:ptCount val="10"/>
                <c:pt idx="0">
                  <c:v>1500</c:v>
                </c:pt>
                <c:pt idx="1">
                  <c:v>2100</c:v>
                </c:pt>
                <c:pt idx="2">
                  <c:v>1200</c:v>
                </c:pt>
                <c:pt idx="3">
                  <c:v>2500</c:v>
                </c:pt>
                <c:pt idx="4">
                  <c:v>1600</c:v>
                </c:pt>
                <c:pt idx="5">
                  <c:v>2000</c:v>
                </c:pt>
                <c:pt idx="6">
                  <c:v>1100</c:v>
                </c:pt>
                <c:pt idx="7">
                  <c:v>3000</c:v>
                </c:pt>
                <c:pt idx="8">
                  <c:v>1700</c:v>
                </c:pt>
                <c:pt idx="9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9-5A4F-8C71-4D6A333C8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DashboardKPITable" displayName="DashboardKPITable" ref="A3:B10"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DashboardPropertyTable" displayName="DashboardPropertyTable" ref="D3:F13">
  <tableColumns count="3">
    <tableColumn id="1" xr3:uid="{00000000-0010-0000-0100-000001000000}" name="PropertyID"/>
    <tableColumn id="2" xr3:uid="{00000000-0010-0000-0100-000002000000}" name="Monthly Rent"/>
    <tableColumn id="3" xr3:uid="{00000000-0010-0000-0100-000003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LandlordsTable" displayName="LandlordsTable" ref="A1:F20">
  <tableColumns count="6">
    <tableColumn id="1" xr3:uid="{00000000-0010-0000-0200-000001000000}" name="LandlordID"/>
    <tableColumn id="2" xr3:uid="{00000000-0010-0000-0200-000002000000}" name="Name"/>
    <tableColumn id="3" xr3:uid="{00000000-0010-0000-0200-000003000000}" name="Phone"/>
    <tableColumn id="4" xr3:uid="{00000000-0010-0000-0200-000004000000}" name="Email"/>
    <tableColumn id="5" xr3:uid="{00000000-0010-0000-0200-000005000000}" name="Address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pertiesTable" displayName="PropertiesTable" ref="A1:L100">
  <tableColumns count="12">
    <tableColumn id="1" xr3:uid="{00000000-0010-0000-0300-000001000000}" name="PropertyID"/>
    <tableColumn id="2" xr3:uid="{00000000-0010-0000-0300-000002000000}" name="LandlordID"/>
    <tableColumn id="3" xr3:uid="{00000000-0010-0000-0300-000003000000}" name="Address"/>
    <tableColumn id="4" xr3:uid="{00000000-0010-0000-0300-000004000000}" name="Town/City"/>
    <tableColumn id="5" xr3:uid="{00000000-0010-0000-0300-000005000000}" name="Postcode"/>
    <tableColumn id="6" xr3:uid="{00000000-0010-0000-0300-000006000000}" name="Type"/>
    <tableColumn id="7" xr3:uid="{00000000-0010-0000-0300-000007000000}" name="Bedrooms"/>
    <tableColumn id="8" xr3:uid="{00000000-0010-0000-0300-000008000000}" name="Status"/>
    <tableColumn id="9" xr3:uid="{00000000-0010-0000-0300-000009000000}" name="Monthly Rent"/>
    <tableColumn id="10" xr3:uid="{00000000-0010-0000-0300-00000A000000}" name="MortgageID"/>
    <tableColumn id="11" xr3:uid="{00000000-0010-0000-0300-00000B000000}" name="Annual Rent"/>
    <tableColumn id="12" xr3:uid="{00000000-0010-0000-0300-00000C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enantsTable" displayName="TenantsTable" ref="A1:F100">
  <tableColumns count="6">
    <tableColumn id="1" xr3:uid="{00000000-0010-0000-0400-000001000000}" name="TenantID"/>
    <tableColumn id="2" xr3:uid="{00000000-0010-0000-0400-000002000000}" name="Name"/>
    <tableColumn id="3" xr3:uid="{00000000-0010-0000-0400-000003000000}" name="Phone"/>
    <tableColumn id="4" xr3:uid="{00000000-0010-0000-0400-000004000000}" name="Email"/>
    <tableColumn id="5" xr3:uid="{00000000-0010-0000-0400-000005000000}" name="Emergency Contact"/>
    <tableColumn id="6" xr3:uid="{00000000-0010-0000-0400-00000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enanciesTable" displayName="TenanciesTable" ref="A1:K100">
  <tableColumns count="11">
    <tableColumn id="1" xr3:uid="{00000000-0010-0000-0500-000001000000}" name="TenancyID"/>
    <tableColumn id="2" xr3:uid="{00000000-0010-0000-0500-000002000000}" name="PropertyID"/>
    <tableColumn id="3" xr3:uid="{00000000-0010-0000-0500-000003000000}" name="TenantID"/>
    <tableColumn id="4" xr3:uid="{00000000-0010-0000-0500-000004000000}" name="Start Date"/>
    <tableColumn id="5" xr3:uid="{00000000-0010-0000-0500-000005000000}" name="End Date"/>
    <tableColumn id="6" xr3:uid="{00000000-0010-0000-0500-000006000000}" name="Monthly Rent"/>
    <tableColumn id="7" xr3:uid="{00000000-0010-0000-0500-000007000000}" name="Deposit"/>
    <tableColumn id="8" xr3:uid="{00000000-0010-0000-0500-000008000000}" name="Deposit Protected?"/>
    <tableColumn id="9" xr3:uid="{00000000-0010-0000-0500-000009000000}" name="Status"/>
    <tableColumn id="10" xr3:uid="{00000000-0010-0000-0500-00000A000000}" name="Days to End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ntPaymentsTable" displayName="RentPaymentsTable" ref="A1:K200">
  <tableColumns count="11">
    <tableColumn id="1" xr3:uid="{00000000-0010-0000-0600-000001000000}" name="PaymentID"/>
    <tableColumn id="2" xr3:uid="{00000000-0010-0000-0600-000002000000}" name="PropertyID"/>
    <tableColumn id="3" xr3:uid="{00000000-0010-0000-0600-000003000000}" name="TenantID"/>
    <tableColumn id="4" xr3:uid="{00000000-0010-0000-0600-000004000000}" name="Due Date"/>
    <tableColumn id="5" xr3:uid="{00000000-0010-0000-0600-000005000000}" name="Paid Date"/>
    <tableColumn id="6" xr3:uid="{00000000-0010-0000-0600-000006000000}" name="Amount Due"/>
    <tableColumn id="7" xr3:uid="{00000000-0010-0000-0600-000007000000}" name="Amount Paid"/>
    <tableColumn id="8" xr3:uid="{00000000-0010-0000-0600-000008000000}" name="Status"/>
    <tableColumn id="9" xr3:uid="{00000000-0010-0000-0600-000009000000}" name="Arrears"/>
    <tableColumn id="10" xr3:uid="{00000000-0010-0000-0600-00000A000000}" name="Month"/>
    <tableColumn id="11" xr3:uid="{00000000-0010-0000-0600-00000B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MaintenanceTable" displayName="MaintenanceTable" ref="A1:K100">
  <tableColumns count="11">
    <tableColumn id="1" xr3:uid="{00000000-0010-0000-0700-000001000000}" name="MaintenanceID"/>
    <tableColumn id="2" xr3:uid="{00000000-0010-0000-0700-000002000000}" name="PropertyID"/>
    <tableColumn id="3" xr3:uid="{00000000-0010-0000-0700-000003000000}" name="Reported Date"/>
    <tableColumn id="4" xr3:uid="{00000000-0010-0000-0700-000004000000}" name="Description"/>
    <tableColumn id="5" xr3:uid="{00000000-0010-0000-0700-000005000000}" name="ContractorID"/>
    <tableColumn id="6" xr3:uid="{00000000-0010-0000-0700-000006000000}" name="Priority"/>
    <tableColumn id="7" xr3:uid="{00000000-0010-0000-0700-000007000000}" name="Status"/>
    <tableColumn id="8" xr3:uid="{00000000-0010-0000-0700-000008000000}" name="Cost Estimate"/>
    <tableColumn id="9" xr3:uid="{00000000-0010-0000-0700-000009000000}" name="Actual Cost"/>
    <tableColumn id="10" xr3:uid="{00000000-0010-0000-0700-00000A000000}" name="Completed Date"/>
    <tableColumn id="11" xr3:uid="{00000000-0010-0000-0700-00000B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CertificatesTable" displayName="CertificatesTable" ref="A1:J200">
  <tableColumns count="10">
    <tableColumn id="1" xr3:uid="{00000000-0010-0000-0800-000001000000}" name="CertificateID"/>
    <tableColumn id="2" xr3:uid="{00000000-0010-0000-0800-000002000000}" name="PropertyID"/>
    <tableColumn id="3" xr3:uid="{00000000-0010-0000-0800-000003000000}" name="Certificate Type"/>
    <tableColumn id="4" xr3:uid="{00000000-0010-0000-0800-000004000000}" name="Issue Date"/>
    <tableColumn id="5" xr3:uid="{00000000-0010-0000-0800-000005000000}" name="Expiry Date"/>
    <tableColumn id="6" xr3:uid="{00000000-0010-0000-0800-000006000000}" name="Status"/>
    <tableColumn id="7" xr3:uid="{00000000-0010-0000-0800-000007000000}" name="Provider"/>
    <tableColumn id="8" xr3:uid="{00000000-0010-0000-0800-000008000000}" name="Cost"/>
    <tableColumn id="9" xr3:uid="{00000000-0010-0000-0800-000009000000}" name="Document Link"/>
    <tableColumn id="10" xr3:uid="{00000000-0010-0000-0800-00000A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MortgagesTable" displayName="MortgagesTable" ref="A1:H100">
  <tableColumns count="8">
    <tableColumn id="1" xr3:uid="{00000000-0010-0000-0900-000001000000}" name="MortgageID"/>
    <tableColumn id="2" xr3:uid="{00000000-0010-0000-0900-000002000000}" name="PropertyID"/>
    <tableColumn id="3" xr3:uid="{00000000-0010-0000-0900-000003000000}" name="Lender"/>
    <tableColumn id="4" xr3:uid="{00000000-0010-0000-0900-000004000000}" name="Balance"/>
    <tableColumn id="5" xr3:uid="{00000000-0010-0000-0900-000005000000}" name="Monthly Payment"/>
    <tableColumn id="6" xr3:uid="{00000000-0010-0000-0900-000006000000}" name="Interest Rate"/>
    <tableColumn id="7" xr3:uid="{00000000-0010-0000-0900-000007000000}" name="Fixed Until"/>
    <tableColumn id="8" xr3:uid="{00000000-0010-0000-0900-000008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ContractorsTable" displayName="ContractorsTable" ref="A1:H100">
  <tableColumns count="8">
    <tableColumn id="1" xr3:uid="{00000000-0010-0000-0A00-000001000000}" name="ContractorID"/>
    <tableColumn id="2" xr3:uid="{00000000-0010-0000-0A00-000002000000}" name="Company/Name"/>
    <tableColumn id="3" xr3:uid="{00000000-0010-0000-0A00-000003000000}" name="Trade"/>
    <tableColumn id="4" xr3:uid="{00000000-0010-0000-0A00-000004000000}" name="Phone"/>
    <tableColumn id="5" xr3:uid="{00000000-0010-0000-0A00-000005000000}" name="Email"/>
    <tableColumn id="6" xr3:uid="{00000000-0010-0000-0A00-000006000000}" name="Area"/>
    <tableColumn id="7" xr3:uid="{00000000-0010-0000-0A00-000007000000}" name="Insurance Checked?"/>
    <tableColumn id="8" xr3:uid="{00000000-0010-0000-0A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3" zoomScaleNormal="100" zoomScaleSheetLayoutView="100" workbookViewId="0">
      <selection activeCell="E7" sqref="E7"/>
    </sheetView>
  </sheetViews>
  <sheetFormatPr defaultRowHeight="15" x14ac:dyDescent="0.2"/>
  <cols>
    <col min="1" max="1" width="46.41015625" customWidth="1"/>
    <col min="2" max="2" width="5.91796875" customWidth="1"/>
    <col min="4" max="4" width="8.875" customWidth="1"/>
    <col min="5" max="5" width="11.1640625" customWidth="1"/>
    <col min="6" max="6" width="7.3984375" customWidth="1"/>
  </cols>
  <sheetData>
    <row r="1" spans="1:8" ht="18.75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ht="27.75" x14ac:dyDescent="0.2">
      <c r="A3" s="6" t="s">
        <v>1</v>
      </c>
      <c r="B3" s="6" t="s">
        <v>2</v>
      </c>
      <c r="C3" s="5"/>
      <c r="D3" s="6" t="s">
        <v>3</v>
      </c>
      <c r="E3" s="6" t="s">
        <v>4</v>
      </c>
      <c r="F3" s="6" t="s">
        <v>5</v>
      </c>
      <c r="G3" s="5"/>
      <c r="H3" s="5"/>
    </row>
    <row r="4" spans="1:8" ht="27.75" x14ac:dyDescent="0.2">
      <c r="A4" s="5" t="s">
        <v>6</v>
      </c>
      <c r="B4" s="5">
        <f>COUNTA(Properties!A2:A11)</f>
        <v>10</v>
      </c>
      <c r="C4" s="5"/>
      <c r="D4" s="5" t="str">
        <f>Properties!A2</f>
        <v>P001</v>
      </c>
      <c r="E4" s="7">
        <f>Properties!I2</f>
        <v>1500</v>
      </c>
      <c r="F4" s="5" t="str">
        <f>Properties!H2</f>
        <v>Occupied</v>
      </c>
      <c r="G4" s="5"/>
      <c r="H4" s="5"/>
    </row>
    <row r="5" spans="1:8" ht="27.75" x14ac:dyDescent="0.2">
      <c r="A5" s="5"/>
      <c r="B5" s="5">
        <f>COUNTIF(Properties!H2:H11,"Occupied")</f>
        <v>8</v>
      </c>
      <c r="C5" s="5"/>
      <c r="D5" s="5" t="str">
        <f>Properties!A3</f>
        <v>P002</v>
      </c>
      <c r="E5" s="7">
        <f>Properties!I3</f>
        <v>2100</v>
      </c>
      <c r="F5" s="5" t="str">
        <f>Properties!H3</f>
        <v>Occupied</v>
      </c>
      <c r="G5" s="5"/>
      <c r="H5" s="5"/>
    </row>
    <row r="6" spans="1:8" ht="27.75" x14ac:dyDescent="0.2">
      <c r="A6" s="5" t="s">
        <v>7</v>
      </c>
      <c r="B6" s="5">
        <f>COUNTIF(Properties!H2:H11,"Available")</f>
        <v>2</v>
      </c>
      <c r="C6" s="5"/>
      <c r="D6" s="5" t="str">
        <f>Properties!A4</f>
        <v>P003</v>
      </c>
      <c r="E6" s="7">
        <f>Properties!I4</f>
        <v>1200</v>
      </c>
      <c r="F6" s="5" t="str">
        <f>Properties!H4</f>
        <v>Occupied</v>
      </c>
      <c r="G6" s="5"/>
      <c r="H6" s="5"/>
    </row>
    <row r="7" spans="1:8" ht="27.75" x14ac:dyDescent="0.2">
      <c r="A7" s="5" t="s">
        <v>8</v>
      </c>
      <c r="B7" s="7">
        <f>SUM(Properties!I2:I11)</f>
        <v>18900</v>
      </c>
      <c r="C7" s="5"/>
      <c r="D7" s="5" t="str">
        <f>Properties!A5</f>
        <v>P004</v>
      </c>
      <c r="E7" s="7">
        <f>Properties!I5</f>
        <v>2500</v>
      </c>
      <c r="F7" s="5" t="str">
        <f>Properties!H5</f>
        <v>Occupied</v>
      </c>
      <c r="G7" s="5"/>
      <c r="H7" s="5"/>
    </row>
    <row r="8" spans="1:8" ht="27.75" x14ac:dyDescent="0.2">
      <c r="A8" s="5" t="s">
        <v>9</v>
      </c>
      <c r="B8" s="7">
        <f>SUM(Properties!K2:K11)</f>
        <v>226800</v>
      </c>
      <c r="C8" s="5"/>
      <c r="D8" s="5" t="str">
        <f>Properties!A6</f>
        <v>P005</v>
      </c>
      <c r="E8" s="7">
        <f>Properties!I6</f>
        <v>1600</v>
      </c>
      <c r="F8" s="5" t="str">
        <f>Properties!H6</f>
        <v>Occupied</v>
      </c>
      <c r="G8" s="5"/>
      <c r="H8" s="5"/>
    </row>
    <row r="9" spans="1:8" ht="27.75" x14ac:dyDescent="0.2">
      <c r="A9" s="5" t="s">
        <v>10</v>
      </c>
      <c r="B9" s="7">
        <f>SUM('Rent Payments'!I2:I200)</f>
        <v>3100</v>
      </c>
      <c r="C9" s="5"/>
      <c r="D9" s="5" t="str">
        <f>Properties!A7</f>
        <v>P006</v>
      </c>
      <c r="E9" s="7">
        <f>Properties!I7</f>
        <v>2000</v>
      </c>
      <c r="F9" s="5" t="str">
        <f>Properties!H7</f>
        <v>Occupied</v>
      </c>
      <c r="G9" s="5"/>
      <c r="H9" s="5"/>
    </row>
    <row r="10" spans="1:8" ht="27.75" x14ac:dyDescent="0.2">
      <c r="A10" s="5" t="s">
        <v>11</v>
      </c>
      <c r="B10" s="5">
        <f>COUNTIF(Maintenance!G2:G100,"Open")</f>
        <v>1</v>
      </c>
      <c r="C10" s="5"/>
      <c r="D10" s="5" t="str">
        <f>Properties!A8</f>
        <v>P007</v>
      </c>
      <c r="E10" s="7">
        <f>Properties!I8</f>
        <v>1100</v>
      </c>
      <c r="F10" s="5" t="str">
        <f>Properties!H8</f>
        <v>Occupied</v>
      </c>
      <c r="G10" s="5"/>
      <c r="H10" s="5"/>
    </row>
    <row r="11" spans="1:8" ht="27.75" x14ac:dyDescent="0.2">
      <c r="A11" s="5"/>
      <c r="B11" s="5"/>
      <c r="C11" s="5"/>
      <c r="D11" s="5" t="str">
        <f>Properties!A9</f>
        <v>P008</v>
      </c>
      <c r="E11" s="7">
        <f>Properties!I9</f>
        <v>3000</v>
      </c>
      <c r="F11" s="5" t="str">
        <f>Properties!H9</f>
        <v>Occupied</v>
      </c>
      <c r="G11" s="5"/>
      <c r="H11" s="5"/>
    </row>
    <row r="12" spans="1:8" ht="27.75" x14ac:dyDescent="0.2">
      <c r="A12" s="5"/>
      <c r="B12" s="5"/>
      <c r="C12" s="5"/>
      <c r="D12" s="5" t="str">
        <f>Properties!A10</f>
        <v>P009</v>
      </c>
      <c r="E12" s="7">
        <f>Properties!I10</f>
        <v>1700</v>
      </c>
      <c r="F12" s="5" t="str">
        <f>Properties!H10</f>
        <v>Available</v>
      </c>
      <c r="G12" s="5"/>
      <c r="H12" s="5"/>
    </row>
    <row r="13" spans="1:8" ht="27.75" x14ac:dyDescent="0.2">
      <c r="A13" s="5"/>
      <c r="B13" s="5"/>
      <c r="C13" s="5"/>
      <c r="D13" s="5" t="str">
        <f>Properties!A11</f>
        <v>P010</v>
      </c>
      <c r="E13" s="7">
        <f>Properties!I11</f>
        <v>2200</v>
      </c>
      <c r="F13" s="5" t="str">
        <f>Properties!H11</f>
        <v>Available</v>
      </c>
      <c r="G13" s="5"/>
      <c r="H13" s="5"/>
    </row>
    <row r="14" spans="1:8" x14ac:dyDescent="0.2">
      <c r="A14" s="5"/>
      <c r="B14" s="5"/>
      <c r="C14" s="5"/>
      <c r="D14" s="5"/>
      <c r="E14" s="5"/>
      <c r="F14" s="5"/>
      <c r="G14" s="5"/>
      <c r="H14" s="5"/>
    </row>
    <row r="15" spans="1:8" x14ac:dyDescent="0.2">
      <c r="A15" s="5"/>
      <c r="B15" s="5"/>
      <c r="C15" s="5"/>
      <c r="D15" s="5"/>
      <c r="E15" s="5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  <row r="20" spans="1:8" x14ac:dyDescent="0.2">
      <c r="A20" s="5"/>
      <c r="B20" s="5"/>
      <c r="C20" s="5"/>
      <c r="D20" s="5"/>
      <c r="E20" s="5"/>
      <c r="F20" s="5"/>
      <c r="G20" s="5"/>
      <c r="H20" s="5"/>
    </row>
  </sheetData>
  <mergeCells count="1">
    <mergeCell ref="A1:H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zoomScaleNormal="100" zoomScaleSheetLayoutView="100" workbookViewId="0"/>
  </sheetViews>
  <sheetFormatPr defaultRowHeight="15" x14ac:dyDescent="0.2"/>
  <cols>
    <col min="1" max="2" width="11.56640625" customWidth="1"/>
    <col min="3" max="3" width="11.43359375" customWidth="1"/>
    <col min="4" max="4" width="16.6796875" customWidth="1"/>
    <col min="5" max="5" width="10.22265625" customWidth="1"/>
    <col min="6" max="6" width="20.04296875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zoomScaleNormal="100" zoomScaleSheetLayoutView="100" workbookViewId="0"/>
  </sheetViews>
  <sheetFormatPr defaultRowHeight="15" x14ac:dyDescent="0.2"/>
  <cols>
    <col min="1" max="2" width="11.56640625" customWidth="1"/>
    <col min="3" max="3" width="11.296875" customWidth="1"/>
    <col min="4" max="4" width="11.02734375" customWidth="1"/>
    <col min="5" max="5" width="10.0859375" customWidth="1"/>
    <col min="6" max="6" width="7.12890625" customWidth="1"/>
    <col min="7" max="7" width="11.02734375" customWidth="1"/>
    <col min="8" max="8" width="9.55078125" customWidth="1"/>
    <col min="9" max="9" width="13.85546875" customWidth="1"/>
    <col min="10" max="10" width="12.375" customWidth="1"/>
    <col min="11" max="11" width="12.64453125" customWidth="1"/>
    <col min="12" max="12" width="7.3984375" customWidth="1"/>
  </cols>
  <sheetData>
    <row r="1" spans="1:12" x14ac:dyDescent="0.2">
      <c r="A1" s="1" t="s">
        <v>3</v>
      </c>
      <c r="B1" s="1" t="s">
        <v>12</v>
      </c>
      <c r="C1" s="1" t="s">
        <v>16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5</v>
      </c>
      <c r="I1" s="1" t="s">
        <v>4</v>
      </c>
      <c r="J1" s="1" t="s">
        <v>28</v>
      </c>
      <c r="K1" s="1" t="s">
        <v>29</v>
      </c>
      <c r="L1" s="1" t="s">
        <v>17</v>
      </c>
    </row>
    <row r="2" spans="1:12" x14ac:dyDescent="0.2">
      <c r="A2" t="s">
        <v>30</v>
      </c>
      <c r="B2" t="s">
        <v>18</v>
      </c>
      <c r="C2" t="s">
        <v>31</v>
      </c>
      <c r="D2" t="s">
        <v>32</v>
      </c>
      <c r="E2" t="s">
        <v>33</v>
      </c>
      <c r="F2" t="s">
        <v>34</v>
      </c>
      <c r="G2">
        <v>2</v>
      </c>
      <c r="H2" t="s">
        <v>35</v>
      </c>
      <c r="I2" s="2">
        <v>1500</v>
      </c>
      <c r="J2" s="2" t="s">
        <v>36</v>
      </c>
      <c r="K2" s="2">
        <f>I2*12</f>
        <v>18000</v>
      </c>
    </row>
    <row r="3" spans="1:12" x14ac:dyDescent="0.2">
      <c r="A3" t="s">
        <v>37</v>
      </c>
      <c r="B3" t="s">
        <v>18</v>
      </c>
      <c r="C3" t="s">
        <v>38</v>
      </c>
      <c r="D3" t="s">
        <v>32</v>
      </c>
      <c r="E3" t="s">
        <v>39</v>
      </c>
      <c r="F3" t="s">
        <v>40</v>
      </c>
      <c r="G3">
        <v>3</v>
      </c>
      <c r="H3" t="s">
        <v>35</v>
      </c>
      <c r="I3" s="2">
        <v>2100</v>
      </c>
      <c r="J3" s="2" t="s">
        <v>41</v>
      </c>
      <c r="K3" s="2">
        <f>I3*12</f>
        <v>25200</v>
      </c>
    </row>
    <row r="4" spans="1:12" x14ac:dyDescent="0.2">
      <c r="A4" t="s">
        <v>42</v>
      </c>
      <c r="B4" t="s">
        <v>18</v>
      </c>
      <c r="C4" t="s">
        <v>43</v>
      </c>
      <c r="D4" t="s">
        <v>32</v>
      </c>
      <c r="E4" t="s">
        <v>44</v>
      </c>
      <c r="F4" t="s">
        <v>34</v>
      </c>
      <c r="G4">
        <v>1</v>
      </c>
      <c r="H4" t="s">
        <v>35</v>
      </c>
      <c r="I4" s="2">
        <v>1200</v>
      </c>
      <c r="J4" s="2" t="s">
        <v>45</v>
      </c>
      <c r="K4" s="2">
        <f>I4*12</f>
        <v>14400</v>
      </c>
    </row>
    <row r="5" spans="1:12" x14ac:dyDescent="0.2">
      <c r="A5" t="s">
        <v>46</v>
      </c>
      <c r="B5" t="s">
        <v>18</v>
      </c>
      <c r="C5" t="s">
        <v>47</v>
      </c>
      <c r="D5" t="s">
        <v>32</v>
      </c>
      <c r="E5" t="s">
        <v>48</v>
      </c>
      <c r="F5" t="s">
        <v>40</v>
      </c>
      <c r="G5">
        <v>4</v>
      </c>
      <c r="H5" t="s">
        <v>35</v>
      </c>
      <c r="I5" s="2">
        <v>2500</v>
      </c>
      <c r="J5" s="2" t="s">
        <v>49</v>
      </c>
      <c r="K5" s="2">
        <f>I5*12</f>
        <v>30000</v>
      </c>
    </row>
    <row r="6" spans="1:12" x14ac:dyDescent="0.2">
      <c r="A6" t="s">
        <v>50</v>
      </c>
      <c r="B6" t="s">
        <v>18</v>
      </c>
      <c r="C6" t="s">
        <v>51</v>
      </c>
      <c r="D6" t="s">
        <v>32</v>
      </c>
      <c r="E6" t="s">
        <v>52</v>
      </c>
      <c r="F6" t="s">
        <v>34</v>
      </c>
      <c r="G6">
        <v>2</v>
      </c>
      <c r="H6" t="s">
        <v>35</v>
      </c>
      <c r="I6" s="2">
        <v>1600</v>
      </c>
      <c r="J6" s="2" t="s">
        <v>53</v>
      </c>
      <c r="K6" s="2">
        <f>I6*12</f>
        <v>19200</v>
      </c>
    </row>
    <row r="7" spans="1:12" x14ac:dyDescent="0.2">
      <c r="A7" t="s">
        <v>54</v>
      </c>
      <c r="B7" t="s">
        <v>18</v>
      </c>
      <c r="C7" t="s">
        <v>55</v>
      </c>
      <c r="D7" t="s">
        <v>32</v>
      </c>
      <c r="E7" t="s">
        <v>56</v>
      </c>
      <c r="F7" t="s">
        <v>40</v>
      </c>
      <c r="G7">
        <v>3</v>
      </c>
      <c r="H7" t="s">
        <v>35</v>
      </c>
      <c r="I7" s="2">
        <v>2000</v>
      </c>
      <c r="J7" s="2" t="s">
        <v>57</v>
      </c>
      <c r="K7" s="2">
        <f>I7*12</f>
        <v>24000</v>
      </c>
    </row>
    <row r="8" spans="1:12" x14ac:dyDescent="0.2">
      <c r="A8" t="s">
        <v>58</v>
      </c>
      <c r="B8" t="s">
        <v>18</v>
      </c>
      <c r="C8" t="s">
        <v>59</v>
      </c>
      <c r="D8" t="s">
        <v>32</v>
      </c>
      <c r="E8" t="s">
        <v>60</v>
      </c>
      <c r="F8" t="s">
        <v>34</v>
      </c>
      <c r="G8">
        <v>1</v>
      </c>
      <c r="H8" t="s">
        <v>35</v>
      </c>
      <c r="I8" s="2">
        <v>1100</v>
      </c>
      <c r="J8" s="2" t="s">
        <v>61</v>
      </c>
      <c r="K8" s="2">
        <f>I8*12</f>
        <v>13200</v>
      </c>
    </row>
    <row r="9" spans="1:12" x14ac:dyDescent="0.2">
      <c r="A9" t="s">
        <v>62</v>
      </c>
      <c r="B9" t="s">
        <v>18</v>
      </c>
      <c r="C9" t="s">
        <v>63</v>
      </c>
      <c r="D9" t="s">
        <v>32</v>
      </c>
      <c r="E9" t="s">
        <v>64</v>
      </c>
      <c r="F9" t="s">
        <v>40</v>
      </c>
      <c r="G9">
        <v>5</v>
      </c>
      <c r="H9" t="s">
        <v>35</v>
      </c>
      <c r="I9" s="2">
        <v>3000</v>
      </c>
      <c r="J9" s="2" t="s">
        <v>65</v>
      </c>
      <c r="K9" s="2">
        <f>I9*12</f>
        <v>36000</v>
      </c>
    </row>
    <row r="10" spans="1:12" x14ac:dyDescent="0.2">
      <c r="A10" t="s">
        <v>66</v>
      </c>
      <c r="B10" t="s">
        <v>18</v>
      </c>
      <c r="C10" t="s">
        <v>67</v>
      </c>
      <c r="D10" t="s">
        <v>32</v>
      </c>
      <c r="E10" t="s">
        <v>68</v>
      </c>
      <c r="F10" t="s">
        <v>34</v>
      </c>
      <c r="G10">
        <v>2</v>
      </c>
      <c r="H10" t="s">
        <v>69</v>
      </c>
      <c r="I10" s="2">
        <v>1700</v>
      </c>
      <c r="J10" s="2" t="s">
        <v>70</v>
      </c>
      <c r="K10" s="2">
        <f>I10*12</f>
        <v>20400</v>
      </c>
    </row>
    <row r="11" spans="1:12" x14ac:dyDescent="0.2">
      <c r="A11" t="s">
        <v>71</v>
      </c>
      <c r="B11" t="s">
        <v>18</v>
      </c>
      <c r="C11" t="s">
        <v>72</v>
      </c>
      <c r="D11" t="s">
        <v>32</v>
      </c>
      <c r="E11" t="s">
        <v>73</v>
      </c>
      <c r="F11" t="s">
        <v>40</v>
      </c>
      <c r="G11">
        <v>3</v>
      </c>
      <c r="H11" t="s">
        <v>69</v>
      </c>
      <c r="I11" s="2">
        <v>2200</v>
      </c>
      <c r="J11" s="2" t="s">
        <v>74</v>
      </c>
      <c r="K11" s="2">
        <f>I11*12</f>
        <v>26400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Lists!$A$2:$A$6</xm:f>
          </x14:formula1>
          <xm:sqref>F2:F100</xm:sqref>
        </x14:dataValidation>
        <x14:dataValidation type="list" xr:uid="{00000000-0002-0000-0200-000001000000}">
          <x14:formula1>
            <xm:f>Lists!$B$2:$B$6</xm:f>
          </x14:formula1>
          <xm:sqref>H2:H100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zoomScaleSheetLayoutView="100" workbookViewId="0"/>
  </sheetViews>
  <sheetFormatPr defaultRowHeight="15" x14ac:dyDescent="0.2"/>
  <cols>
    <col min="1" max="1" width="9.953125" customWidth="1"/>
    <col min="2" max="2" width="12.23828125" customWidth="1"/>
    <col min="3" max="3" width="11.43359375" customWidth="1"/>
    <col min="4" max="4" width="22.1953125" customWidth="1"/>
    <col min="5" max="5" width="18.29296875" customWidth="1"/>
    <col min="6" max="6" width="7.3984375" customWidth="1"/>
  </cols>
  <sheetData>
    <row r="1" spans="1:6" x14ac:dyDescent="0.2">
      <c r="A1" s="1" t="s">
        <v>75</v>
      </c>
      <c r="B1" s="1" t="s">
        <v>13</v>
      </c>
      <c r="C1" s="1" t="s">
        <v>14</v>
      </c>
      <c r="D1" s="1" t="s">
        <v>15</v>
      </c>
      <c r="E1" s="1" t="s">
        <v>76</v>
      </c>
      <c r="F1" s="1" t="s">
        <v>17</v>
      </c>
    </row>
    <row r="2" spans="1:6" x14ac:dyDescent="0.2">
      <c r="A2" t="s">
        <v>77</v>
      </c>
      <c r="B2" t="s">
        <v>78</v>
      </c>
      <c r="C2" t="s">
        <v>79</v>
      </c>
      <c r="D2" t="s">
        <v>80</v>
      </c>
    </row>
    <row r="3" spans="1:6" x14ac:dyDescent="0.2">
      <c r="A3" t="s">
        <v>81</v>
      </c>
      <c r="B3" t="s">
        <v>82</v>
      </c>
      <c r="C3" t="s">
        <v>83</v>
      </c>
      <c r="D3" t="s">
        <v>84</v>
      </c>
    </row>
    <row r="4" spans="1:6" x14ac:dyDescent="0.2">
      <c r="A4" t="s">
        <v>85</v>
      </c>
      <c r="B4" t="s">
        <v>86</v>
      </c>
      <c r="C4" t="s">
        <v>87</v>
      </c>
      <c r="D4" t="s">
        <v>88</v>
      </c>
    </row>
    <row r="5" spans="1:6" x14ac:dyDescent="0.2">
      <c r="A5" t="s">
        <v>89</v>
      </c>
      <c r="B5" t="s">
        <v>90</v>
      </c>
      <c r="C5" t="s">
        <v>91</v>
      </c>
      <c r="D5" t="s">
        <v>92</v>
      </c>
    </row>
    <row r="6" spans="1:6" x14ac:dyDescent="0.2">
      <c r="A6" t="s">
        <v>93</v>
      </c>
      <c r="B6" t="s">
        <v>94</v>
      </c>
      <c r="C6" t="s">
        <v>95</v>
      </c>
      <c r="D6" t="s">
        <v>96</v>
      </c>
    </row>
    <row r="7" spans="1:6" x14ac:dyDescent="0.2">
      <c r="A7" t="s">
        <v>97</v>
      </c>
      <c r="B7" t="s">
        <v>98</v>
      </c>
      <c r="C7" t="s">
        <v>99</v>
      </c>
      <c r="D7" t="s">
        <v>100</v>
      </c>
    </row>
    <row r="8" spans="1:6" x14ac:dyDescent="0.2">
      <c r="A8" t="s">
        <v>101</v>
      </c>
      <c r="B8" t="s">
        <v>102</v>
      </c>
      <c r="C8" t="s">
        <v>103</v>
      </c>
      <c r="D8" t="s">
        <v>104</v>
      </c>
    </row>
    <row r="9" spans="1:6" x14ac:dyDescent="0.2">
      <c r="A9" t="s">
        <v>105</v>
      </c>
      <c r="B9" t="s">
        <v>106</v>
      </c>
      <c r="C9" t="s">
        <v>107</v>
      </c>
      <c r="D9" t="s">
        <v>108</v>
      </c>
    </row>
    <row r="10" spans="1:6" x14ac:dyDescent="0.2">
      <c r="A10" t="s">
        <v>109</v>
      </c>
      <c r="B10" t="s">
        <v>110</v>
      </c>
    </row>
    <row r="11" spans="1:6" x14ac:dyDescent="0.2">
      <c r="A11" t="s">
        <v>111</v>
      </c>
      <c r="B11" t="s">
        <v>110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zoomScaleNormal="100" zoomScaleSheetLayoutView="100" workbookViewId="0"/>
  </sheetViews>
  <sheetFormatPr defaultRowHeight="15" x14ac:dyDescent="0.2"/>
  <cols>
    <col min="1" max="1" width="11.02734375" customWidth="1"/>
    <col min="2" max="2" width="11.56640625" customWidth="1"/>
    <col min="3" max="3" width="9.953125" customWidth="1"/>
    <col min="4" max="4" width="10.89453125" customWidth="1"/>
    <col min="5" max="5" width="9.953125" customWidth="1"/>
    <col min="6" max="6" width="13.85546875" customWidth="1"/>
    <col min="7" max="7" width="8.875" customWidth="1"/>
    <col min="8" max="8" width="18.29296875" customWidth="1"/>
    <col min="9" max="9" width="7.6640625" customWidth="1"/>
    <col min="10" max="10" width="12.23828125" customWidth="1"/>
    <col min="11" max="11" width="7.3984375" customWidth="1"/>
  </cols>
  <sheetData>
    <row r="1" spans="1:11" x14ac:dyDescent="0.2">
      <c r="A1" s="1" t="s">
        <v>112</v>
      </c>
      <c r="B1" s="1" t="s">
        <v>3</v>
      </c>
      <c r="C1" s="1" t="s">
        <v>75</v>
      </c>
      <c r="D1" s="1" t="s">
        <v>113</v>
      </c>
      <c r="E1" s="1" t="s">
        <v>114</v>
      </c>
      <c r="F1" s="1" t="s">
        <v>4</v>
      </c>
      <c r="G1" s="1" t="s">
        <v>115</v>
      </c>
      <c r="H1" s="1" t="s">
        <v>116</v>
      </c>
      <c r="I1" s="1" t="s">
        <v>5</v>
      </c>
      <c r="J1" s="1" t="s">
        <v>117</v>
      </c>
      <c r="K1" s="1" t="s">
        <v>17</v>
      </c>
    </row>
    <row r="2" spans="1:11" x14ac:dyDescent="0.2">
      <c r="A2" t="s">
        <v>118</v>
      </c>
      <c r="B2" t="s">
        <v>30</v>
      </c>
      <c r="C2" t="s">
        <v>77</v>
      </c>
      <c r="D2" s="3">
        <v>46023</v>
      </c>
      <c r="E2" s="3">
        <v>46387</v>
      </c>
      <c r="F2" s="2" t="e">
        <f ca="1">_xludf.XLOOKUP(B2,Properties!A:A,Properties!I:I,0)</f>
        <v>#NAME?</v>
      </c>
      <c r="G2" s="2" t="e">
        <f ca="1">F2</f>
        <v>#NAME?</v>
      </c>
      <c r="H2" t="s">
        <v>119</v>
      </c>
      <c r="I2" t="s">
        <v>120</v>
      </c>
      <c r="J2">
        <f ca="1">IF(I2="Active",E2-TODAY(),"")</f>
        <v>214</v>
      </c>
    </row>
    <row r="3" spans="1:11" x14ac:dyDescent="0.2">
      <c r="A3" t="s">
        <v>121</v>
      </c>
      <c r="B3" t="s">
        <v>37</v>
      </c>
      <c r="C3" t="s">
        <v>81</v>
      </c>
      <c r="D3" s="3">
        <v>46054</v>
      </c>
      <c r="E3" s="3">
        <v>46053</v>
      </c>
      <c r="F3" s="2" t="e">
        <f ca="1">_xludf.XLOOKUP(B3,Properties!A:A,Properties!I:I,0)</f>
        <v>#NAME?</v>
      </c>
      <c r="G3" s="2" t="e">
        <f ca="1">F3</f>
        <v>#NAME?</v>
      </c>
      <c r="H3" t="s">
        <v>119</v>
      </c>
      <c r="I3" t="s">
        <v>120</v>
      </c>
      <c r="J3">
        <f ca="1">IF(I3="Active",E3-TODAY(),"")</f>
        <v>-120</v>
      </c>
    </row>
    <row r="4" spans="1:11" x14ac:dyDescent="0.2">
      <c r="A4" t="s">
        <v>122</v>
      </c>
      <c r="B4" t="s">
        <v>42</v>
      </c>
      <c r="C4" t="s">
        <v>85</v>
      </c>
      <c r="D4" s="3">
        <v>46023</v>
      </c>
      <c r="E4" s="3">
        <v>46387</v>
      </c>
      <c r="F4" s="2" t="e">
        <f ca="1">_xludf.XLOOKUP(B4,Properties!A:A,Properties!I:I,0)</f>
        <v>#NAME?</v>
      </c>
      <c r="G4" s="2" t="e">
        <f ca="1">F4</f>
        <v>#NAME?</v>
      </c>
      <c r="H4" t="s">
        <v>119</v>
      </c>
      <c r="I4" t="s">
        <v>120</v>
      </c>
      <c r="J4">
        <f ca="1">IF(I4="Active",E4-TODAY(),"")</f>
        <v>214</v>
      </c>
    </row>
    <row r="5" spans="1:11" x14ac:dyDescent="0.2">
      <c r="A5" t="s">
        <v>123</v>
      </c>
      <c r="B5" t="s">
        <v>46</v>
      </c>
      <c r="C5" t="s">
        <v>89</v>
      </c>
      <c r="D5" s="3">
        <v>46054</v>
      </c>
      <c r="E5" s="3">
        <v>46053</v>
      </c>
      <c r="F5" s="2" t="e">
        <f ca="1">_xludf.XLOOKUP(B5,Properties!A:A,Properties!I:I,0)</f>
        <v>#NAME?</v>
      </c>
      <c r="G5" s="2" t="e">
        <f ca="1">F5</f>
        <v>#NAME?</v>
      </c>
      <c r="H5" t="s">
        <v>119</v>
      </c>
      <c r="I5" t="s">
        <v>120</v>
      </c>
      <c r="J5">
        <f ca="1">IF(I5="Active",E5-TODAY(),"")</f>
        <v>-120</v>
      </c>
    </row>
    <row r="6" spans="1:11" x14ac:dyDescent="0.2">
      <c r="A6" t="s">
        <v>124</v>
      </c>
      <c r="B6" t="s">
        <v>50</v>
      </c>
      <c r="C6" t="s">
        <v>93</v>
      </c>
      <c r="D6" s="3">
        <v>46023</v>
      </c>
      <c r="E6" s="3">
        <v>46387</v>
      </c>
      <c r="F6" s="2" t="e">
        <f ca="1">_xludf.XLOOKUP(B6,Properties!A:A,Properties!I:I,0)</f>
        <v>#NAME?</v>
      </c>
      <c r="G6" s="2" t="e">
        <f ca="1">F6</f>
        <v>#NAME?</v>
      </c>
      <c r="H6" t="s">
        <v>119</v>
      </c>
      <c r="I6" t="s">
        <v>120</v>
      </c>
      <c r="J6">
        <f ca="1">IF(I6="Active",E6-TODAY(),"")</f>
        <v>214</v>
      </c>
    </row>
    <row r="7" spans="1:11" x14ac:dyDescent="0.2">
      <c r="A7" t="s">
        <v>125</v>
      </c>
      <c r="B7" t="s">
        <v>54</v>
      </c>
      <c r="C7" t="s">
        <v>97</v>
      </c>
      <c r="D7" s="3">
        <v>46054</v>
      </c>
      <c r="E7" s="3">
        <v>46053</v>
      </c>
      <c r="F7" s="2" t="e">
        <f ca="1">_xludf.XLOOKUP(B7,Properties!A:A,Properties!I:I,0)</f>
        <v>#NAME?</v>
      </c>
      <c r="G7" s="2" t="e">
        <f ca="1">F7</f>
        <v>#NAME?</v>
      </c>
      <c r="H7" t="s">
        <v>119</v>
      </c>
      <c r="I7" t="s">
        <v>120</v>
      </c>
      <c r="J7">
        <f ca="1">IF(I7="Active",E7-TODAY(),"")</f>
        <v>-120</v>
      </c>
    </row>
    <row r="8" spans="1:11" x14ac:dyDescent="0.2">
      <c r="A8" t="s">
        <v>126</v>
      </c>
      <c r="B8" t="s">
        <v>58</v>
      </c>
      <c r="C8" t="s">
        <v>101</v>
      </c>
      <c r="D8" s="3">
        <v>46023</v>
      </c>
      <c r="E8" s="3">
        <v>46387</v>
      </c>
      <c r="F8" s="2" t="e">
        <f ca="1">_xludf.XLOOKUP(B8,Properties!A:A,Properties!I:I,0)</f>
        <v>#NAME?</v>
      </c>
      <c r="G8" s="2" t="e">
        <f ca="1">F8</f>
        <v>#NAME?</v>
      </c>
      <c r="H8" t="s">
        <v>119</v>
      </c>
      <c r="I8" t="s">
        <v>120</v>
      </c>
      <c r="J8">
        <f ca="1">IF(I8="Active",E8-TODAY(),"")</f>
        <v>214</v>
      </c>
    </row>
    <row r="9" spans="1:11" x14ac:dyDescent="0.2">
      <c r="A9" t="s">
        <v>127</v>
      </c>
      <c r="B9" t="s">
        <v>62</v>
      </c>
      <c r="C9" t="s">
        <v>105</v>
      </c>
      <c r="D9" s="3">
        <v>46054</v>
      </c>
      <c r="E9" s="3">
        <v>46053</v>
      </c>
      <c r="F9" s="2" t="e">
        <f ca="1">_xludf.XLOOKUP(B9,Properties!A:A,Properties!I:I,0)</f>
        <v>#NAME?</v>
      </c>
      <c r="G9" s="2" t="e">
        <f ca="1">F9</f>
        <v>#NAME?</v>
      </c>
      <c r="H9" t="s">
        <v>119</v>
      </c>
      <c r="I9" t="s">
        <v>120</v>
      </c>
      <c r="J9">
        <f ca="1">IF(I9="Active",E9-TODAY(),"")</f>
        <v>-120</v>
      </c>
    </row>
    <row r="10" spans="1:11" x14ac:dyDescent="0.2">
      <c r="D10" s="3"/>
      <c r="E10" s="3"/>
      <c r="F10" s="2"/>
      <c r="G10" s="2"/>
    </row>
    <row r="11" spans="1:11" x14ac:dyDescent="0.2">
      <c r="D11" s="3"/>
      <c r="E11" s="3"/>
      <c r="F11" s="2"/>
      <c r="G11" s="2"/>
    </row>
    <row r="12" spans="1:11" x14ac:dyDescent="0.2">
      <c r="D12" s="3"/>
      <c r="E12" s="3"/>
      <c r="F12" s="2"/>
      <c r="G12" s="2"/>
    </row>
    <row r="13" spans="1:11" x14ac:dyDescent="0.2">
      <c r="D13" s="3"/>
      <c r="E13" s="3"/>
      <c r="F13" s="2"/>
      <c r="G13" s="2"/>
    </row>
    <row r="14" spans="1:11" x14ac:dyDescent="0.2">
      <c r="D14" s="3"/>
      <c r="E14" s="3"/>
      <c r="F14" s="2"/>
      <c r="G14" s="2"/>
    </row>
    <row r="15" spans="1:11" x14ac:dyDescent="0.2">
      <c r="D15" s="3"/>
      <c r="E15" s="3"/>
      <c r="F15" s="2"/>
      <c r="G15" s="2"/>
    </row>
    <row r="16" spans="1:11" x14ac:dyDescent="0.2">
      <c r="D16" s="3"/>
      <c r="E16" s="3"/>
      <c r="F16" s="2"/>
      <c r="G16" s="2"/>
    </row>
    <row r="17" spans="4:7" x14ac:dyDescent="0.2">
      <c r="D17" s="3"/>
      <c r="E17" s="3"/>
      <c r="F17" s="2"/>
      <c r="G17" s="2"/>
    </row>
    <row r="18" spans="4:7" x14ac:dyDescent="0.2">
      <c r="D18" s="3"/>
      <c r="E18" s="3"/>
      <c r="F18" s="2"/>
      <c r="G18" s="2"/>
    </row>
    <row r="19" spans="4:7" x14ac:dyDescent="0.2">
      <c r="D19" s="3"/>
      <c r="E19" s="3"/>
      <c r="F19" s="2"/>
      <c r="G19" s="2"/>
    </row>
    <row r="20" spans="4:7" x14ac:dyDescent="0.2">
      <c r="D20" s="3"/>
      <c r="E20" s="3"/>
      <c r="F20" s="2"/>
      <c r="G20" s="2"/>
    </row>
    <row r="21" spans="4:7" x14ac:dyDescent="0.2">
      <c r="D21" s="3"/>
      <c r="E21" s="3"/>
      <c r="F21" s="2"/>
      <c r="G21" s="2"/>
    </row>
    <row r="22" spans="4:7" x14ac:dyDescent="0.2">
      <c r="D22" s="3"/>
      <c r="E22" s="3"/>
      <c r="F22" s="2"/>
      <c r="G22" s="2"/>
    </row>
    <row r="23" spans="4:7" x14ac:dyDescent="0.2">
      <c r="D23" s="3"/>
      <c r="E23" s="3"/>
      <c r="F23" s="2"/>
      <c r="G23" s="2"/>
    </row>
    <row r="24" spans="4:7" x14ac:dyDescent="0.2">
      <c r="D24" s="3"/>
      <c r="E24" s="3"/>
      <c r="F24" s="2"/>
      <c r="G24" s="2"/>
    </row>
    <row r="25" spans="4:7" x14ac:dyDescent="0.2">
      <c r="D25" s="3"/>
      <c r="E25" s="3"/>
      <c r="F25" s="2"/>
      <c r="G25" s="2"/>
    </row>
    <row r="26" spans="4:7" x14ac:dyDescent="0.2">
      <c r="D26" s="3"/>
      <c r="E26" s="3"/>
      <c r="F26" s="2"/>
      <c r="G26" s="2"/>
    </row>
    <row r="27" spans="4:7" x14ac:dyDescent="0.2">
      <c r="D27" s="3"/>
      <c r="E27" s="3"/>
      <c r="F27" s="2"/>
      <c r="G27" s="2"/>
    </row>
    <row r="28" spans="4:7" x14ac:dyDescent="0.2">
      <c r="D28" s="3"/>
      <c r="E28" s="3"/>
      <c r="F28" s="2"/>
      <c r="G28" s="2"/>
    </row>
    <row r="29" spans="4:7" x14ac:dyDescent="0.2">
      <c r="D29" s="3"/>
      <c r="E29" s="3"/>
      <c r="F29" s="2"/>
      <c r="G29" s="2"/>
    </row>
    <row r="30" spans="4:7" x14ac:dyDescent="0.2">
      <c r="D30" s="3"/>
      <c r="E30" s="3"/>
      <c r="F30" s="2"/>
      <c r="G30" s="2"/>
    </row>
    <row r="31" spans="4:7" x14ac:dyDescent="0.2">
      <c r="D31" s="3"/>
      <c r="E31" s="3"/>
      <c r="F31" s="2"/>
      <c r="G31" s="2"/>
    </row>
    <row r="32" spans="4:7" x14ac:dyDescent="0.2">
      <c r="D32" s="3"/>
      <c r="E32" s="3"/>
      <c r="F32" s="2"/>
      <c r="G32" s="2"/>
    </row>
    <row r="33" spans="4:7" x14ac:dyDescent="0.2">
      <c r="D33" s="3"/>
      <c r="E33" s="3"/>
      <c r="F33" s="2"/>
      <c r="G33" s="2"/>
    </row>
    <row r="34" spans="4:7" x14ac:dyDescent="0.2">
      <c r="D34" s="3"/>
      <c r="E34" s="3"/>
      <c r="F34" s="2"/>
      <c r="G34" s="2"/>
    </row>
    <row r="35" spans="4:7" x14ac:dyDescent="0.2">
      <c r="D35" s="3"/>
      <c r="E35" s="3"/>
      <c r="F35" s="2"/>
      <c r="G35" s="2"/>
    </row>
    <row r="36" spans="4:7" x14ac:dyDescent="0.2">
      <c r="D36" s="3"/>
      <c r="E36" s="3"/>
      <c r="F36" s="2"/>
      <c r="G36" s="2"/>
    </row>
    <row r="37" spans="4:7" x14ac:dyDescent="0.2">
      <c r="D37" s="3"/>
      <c r="E37" s="3"/>
      <c r="F37" s="2"/>
      <c r="G37" s="2"/>
    </row>
    <row r="38" spans="4:7" x14ac:dyDescent="0.2">
      <c r="D38" s="3"/>
      <c r="E38" s="3"/>
      <c r="F38" s="2"/>
      <c r="G38" s="2"/>
    </row>
    <row r="39" spans="4:7" x14ac:dyDescent="0.2">
      <c r="D39" s="3"/>
      <c r="E39" s="3"/>
      <c r="F39" s="2"/>
      <c r="G39" s="2"/>
    </row>
    <row r="40" spans="4:7" x14ac:dyDescent="0.2">
      <c r="D40" s="3"/>
      <c r="E40" s="3"/>
      <c r="F40" s="2"/>
      <c r="G40" s="2"/>
    </row>
    <row r="41" spans="4:7" x14ac:dyDescent="0.2">
      <c r="D41" s="3"/>
      <c r="E41" s="3"/>
      <c r="F41" s="2"/>
      <c r="G41" s="2"/>
    </row>
    <row r="42" spans="4:7" x14ac:dyDescent="0.2">
      <c r="D42" s="3"/>
      <c r="E42" s="3"/>
      <c r="F42" s="2"/>
      <c r="G42" s="2"/>
    </row>
    <row r="43" spans="4:7" x14ac:dyDescent="0.2">
      <c r="D43" s="3"/>
      <c r="E43" s="3"/>
      <c r="F43" s="2"/>
      <c r="G43" s="2"/>
    </row>
    <row r="44" spans="4:7" x14ac:dyDescent="0.2">
      <c r="D44" s="3"/>
      <c r="E44" s="3"/>
      <c r="F44" s="2"/>
      <c r="G44" s="2"/>
    </row>
    <row r="45" spans="4:7" x14ac:dyDescent="0.2">
      <c r="D45" s="3"/>
      <c r="E45" s="3"/>
      <c r="F45" s="2"/>
      <c r="G45" s="2"/>
    </row>
    <row r="46" spans="4:7" x14ac:dyDescent="0.2">
      <c r="D46" s="3"/>
      <c r="E46" s="3"/>
      <c r="F46" s="2"/>
      <c r="G46" s="2"/>
    </row>
    <row r="47" spans="4:7" x14ac:dyDescent="0.2">
      <c r="D47" s="3"/>
      <c r="E47" s="3"/>
      <c r="F47" s="2"/>
      <c r="G47" s="2"/>
    </row>
    <row r="48" spans="4:7" x14ac:dyDescent="0.2">
      <c r="D48" s="3"/>
      <c r="E48" s="3"/>
      <c r="F48" s="2"/>
      <c r="G48" s="2"/>
    </row>
    <row r="49" spans="4:7" x14ac:dyDescent="0.2">
      <c r="D49" s="3"/>
      <c r="E49" s="3"/>
      <c r="F49" s="2"/>
      <c r="G49" s="2"/>
    </row>
    <row r="50" spans="4:7" x14ac:dyDescent="0.2">
      <c r="D50" s="3"/>
      <c r="E50" s="3"/>
      <c r="F50" s="2"/>
      <c r="G50" s="2"/>
    </row>
    <row r="51" spans="4:7" x14ac:dyDescent="0.2">
      <c r="D51" s="3"/>
      <c r="E51" s="3"/>
      <c r="F51" s="2"/>
      <c r="G51" s="2"/>
    </row>
    <row r="52" spans="4:7" x14ac:dyDescent="0.2">
      <c r="D52" s="3"/>
      <c r="E52" s="3"/>
      <c r="F52" s="2"/>
      <c r="G52" s="2"/>
    </row>
    <row r="53" spans="4:7" x14ac:dyDescent="0.2">
      <c r="D53" s="3"/>
      <c r="E53" s="3"/>
      <c r="F53" s="2"/>
      <c r="G53" s="2"/>
    </row>
    <row r="54" spans="4:7" x14ac:dyDescent="0.2">
      <c r="D54" s="3"/>
      <c r="E54" s="3"/>
      <c r="F54" s="2"/>
      <c r="G54" s="2"/>
    </row>
    <row r="55" spans="4:7" x14ac:dyDescent="0.2">
      <c r="D55" s="3"/>
      <c r="E55" s="3"/>
      <c r="F55" s="2"/>
      <c r="G55" s="2"/>
    </row>
    <row r="56" spans="4:7" x14ac:dyDescent="0.2">
      <c r="D56" s="3"/>
      <c r="E56" s="3"/>
      <c r="F56" s="2"/>
      <c r="G56" s="2"/>
    </row>
    <row r="57" spans="4:7" x14ac:dyDescent="0.2">
      <c r="D57" s="3"/>
      <c r="E57" s="3"/>
      <c r="F57" s="2"/>
      <c r="G57" s="2"/>
    </row>
    <row r="58" spans="4:7" x14ac:dyDescent="0.2">
      <c r="D58" s="3"/>
      <c r="E58" s="3"/>
      <c r="F58" s="2"/>
      <c r="G58" s="2"/>
    </row>
    <row r="59" spans="4:7" x14ac:dyDescent="0.2">
      <c r="D59" s="3"/>
      <c r="E59" s="3"/>
      <c r="F59" s="2"/>
      <c r="G59" s="2"/>
    </row>
    <row r="60" spans="4:7" x14ac:dyDescent="0.2">
      <c r="D60" s="3"/>
      <c r="E60" s="3"/>
      <c r="F60" s="2"/>
      <c r="G60" s="2"/>
    </row>
    <row r="61" spans="4:7" x14ac:dyDescent="0.2">
      <c r="D61" s="3"/>
      <c r="E61" s="3"/>
      <c r="F61" s="2"/>
      <c r="G61" s="2"/>
    </row>
    <row r="62" spans="4:7" x14ac:dyDescent="0.2">
      <c r="D62" s="3"/>
      <c r="E62" s="3"/>
      <c r="F62" s="2"/>
      <c r="G62" s="2"/>
    </row>
    <row r="63" spans="4:7" x14ac:dyDescent="0.2">
      <c r="D63" s="3"/>
      <c r="E63" s="3"/>
      <c r="F63" s="2"/>
      <c r="G63" s="2"/>
    </row>
    <row r="64" spans="4:7" x14ac:dyDescent="0.2">
      <c r="D64" s="3"/>
      <c r="E64" s="3"/>
      <c r="F64" s="2"/>
      <c r="G64" s="2"/>
    </row>
    <row r="65" spans="4:7" x14ac:dyDescent="0.2">
      <c r="D65" s="3"/>
      <c r="E65" s="3"/>
      <c r="F65" s="2"/>
      <c r="G65" s="2"/>
    </row>
    <row r="66" spans="4:7" x14ac:dyDescent="0.2">
      <c r="D66" s="3"/>
      <c r="E66" s="3"/>
      <c r="F66" s="2"/>
      <c r="G66" s="2"/>
    </row>
    <row r="67" spans="4:7" x14ac:dyDescent="0.2">
      <c r="D67" s="3"/>
      <c r="E67" s="3"/>
      <c r="F67" s="2"/>
      <c r="G67" s="2"/>
    </row>
    <row r="68" spans="4:7" x14ac:dyDescent="0.2">
      <c r="D68" s="3"/>
      <c r="E68" s="3"/>
      <c r="F68" s="2"/>
      <c r="G68" s="2"/>
    </row>
    <row r="69" spans="4:7" x14ac:dyDescent="0.2">
      <c r="D69" s="3"/>
      <c r="E69" s="3"/>
      <c r="F69" s="2"/>
      <c r="G69" s="2"/>
    </row>
    <row r="70" spans="4:7" x14ac:dyDescent="0.2">
      <c r="D70" s="3"/>
      <c r="E70" s="3"/>
      <c r="F70" s="2"/>
      <c r="G70" s="2"/>
    </row>
    <row r="71" spans="4:7" x14ac:dyDescent="0.2">
      <c r="D71" s="3"/>
      <c r="E71" s="3"/>
      <c r="F71" s="2"/>
      <c r="G71" s="2"/>
    </row>
    <row r="72" spans="4:7" x14ac:dyDescent="0.2">
      <c r="D72" s="3"/>
      <c r="E72" s="3"/>
      <c r="F72" s="2"/>
      <c r="G72" s="2"/>
    </row>
    <row r="73" spans="4:7" x14ac:dyDescent="0.2">
      <c r="D73" s="3"/>
      <c r="E73" s="3"/>
      <c r="F73" s="2"/>
      <c r="G73" s="2"/>
    </row>
    <row r="74" spans="4:7" x14ac:dyDescent="0.2">
      <c r="D74" s="3"/>
      <c r="E74" s="3"/>
      <c r="F74" s="2"/>
      <c r="G74" s="2"/>
    </row>
    <row r="75" spans="4:7" x14ac:dyDescent="0.2">
      <c r="D75" s="3"/>
      <c r="E75" s="3"/>
      <c r="F75" s="2"/>
      <c r="G75" s="2"/>
    </row>
    <row r="76" spans="4:7" x14ac:dyDescent="0.2">
      <c r="D76" s="3"/>
      <c r="E76" s="3"/>
      <c r="F76" s="2"/>
      <c r="G76" s="2"/>
    </row>
    <row r="77" spans="4:7" x14ac:dyDescent="0.2">
      <c r="D77" s="3"/>
      <c r="E77" s="3"/>
      <c r="F77" s="2"/>
      <c r="G77" s="2"/>
    </row>
    <row r="78" spans="4:7" x14ac:dyDescent="0.2">
      <c r="D78" s="3"/>
      <c r="E78" s="3"/>
      <c r="F78" s="2"/>
      <c r="G78" s="2"/>
    </row>
    <row r="79" spans="4:7" x14ac:dyDescent="0.2">
      <c r="D79" s="3"/>
      <c r="E79" s="3"/>
      <c r="F79" s="2"/>
      <c r="G79" s="2"/>
    </row>
    <row r="80" spans="4:7" x14ac:dyDescent="0.2">
      <c r="D80" s="3"/>
      <c r="E80" s="3"/>
      <c r="F80" s="2"/>
      <c r="G80" s="2"/>
    </row>
    <row r="81" spans="4:7" x14ac:dyDescent="0.2">
      <c r="D81" s="3"/>
      <c r="E81" s="3"/>
      <c r="F81" s="2"/>
      <c r="G81" s="2"/>
    </row>
    <row r="82" spans="4:7" x14ac:dyDescent="0.2">
      <c r="D82" s="3"/>
      <c r="E82" s="3"/>
      <c r="F82" s="2"/>
      <c r="G82" s="2"/>
    </row>
    <row r="83" spans="4:7" x14ac:dyDescent="0.2">
      <c r="D83" s="3"/>
      <c r="E83" s="3"/>
      <c r="F83" s="2"/>
      <c r="G83" s="2"/>
    </row>
    <row r="84" spans="4:7" x14ac:dyDescent="0.2">
      <c r="D84" s="3"/>
      <c r="E84" s="3"/>
      <c r="F84" s="2"/>
      <c r="G84" s="2"/>
    </row>
    <row r="85" spans="4:7" x14ac:dyDescent="0.2">
      <c r="D85" s="3"/>
      <c r="E85" s="3"/>
      <c r="F85" s="2"/>
      <c r="G85" s="2"/>
    </row>
    <row r="86" spans="4:7" x14ac:dyDescent="0.2">
      <c r="D86" s="3"/>
      <c r="E86" s="3"/>
      <c r="F86" s="2"/>
      <c r="G86" s="2"/>
    </row>
    <row r="87" spans="4:7" x14ac:dyDescent="0.2">
      <c r="D87" s="3"/>
      <c r="E87" s="3"/>
      <c r="F87" s="2"/>
      <c r="G87" s="2"/>
    </row>
    <row r="88" spans="4:7" x14ac:dyDescent="0.2">
      <c r="D88" s="3"/>
      <c r="E88" s="3"/>
      <c r="F88" s="2"/>
      <c r="G88" s="2"/>
    </row>
    <row r="89" spans="4:7" x14ac:dyDescent="0.2">
      <c r="D89" s="3"/>
      <c r="E89" s="3"/>
      <c r="F89" s="2"/>
      <c r="G89" s="2"/>
    </row>
    <row r="90" spans="4:7" x14ac:dyDescent="0.2">
      <c r="D90" s="3"/>
      <c r="E90" s="3"/>
      <c r="F90" s="2"/>
      <c r="G90" s="2"/>
    </row>
    <row r="91" spans="4:7" x14ac:dyDescent="0.2">
      <c r="D91" s="3"/>
      <c r="E91" s="3"/>
      <c r="F91" s="2"/>
      <c r="G91" s="2"/>
    </row>
    <row r="92" spans="4:7" x14ac:dyDescent="0.2">
      <c r="D92" s="3"/>
      <c r="E92" s="3"/>
      <c r="F92" s="2"/>
      <c r="G92" s="2"/>
    </row>
    <row r="93" spans="4:7" x14ac:dyDescent="0.2">
      <c r="D93" s="3"/>
      <c r="E93" s="3"/>
      <c r="F93" s="2"/>
      <c r="G93" s="2"/>
    </row>
    <row r="94" spans="4:7" x14ac:dyDescent="0.2">
      <c r="D94" s="3"/>
      <c r="E94" s="3"/>
      <c r="F94" s="2"/>
      <c r="G94" s="2"/>
    </row>
    <row r="95" spans="4:7" x14ac:dyDescent="0.2">
      <c r="D95" s="3"/>
      <c r="E95" s="3"/>
      <c r="F95" s="2"/>
      <c r="G95" s="2"/>
    </row>
    <row r="96" spans="4:7" x14ac:dyDescent="0.2">
      <c r="D96" s="3"/>
      <c r="E96" s="3"/>
      <c r="F96" s="2"/>
      <c r="G96" s="2"/>
    </row>
    <row r="97" spans="4:7" x14ac:dyDescent="0.2">
      <c r="D97" s="3"/>
      <c r="E97" s="3"/>
      <c r="F97" s="2"/>
      <c r="G97" s="2"/>
    </row>
    <row r="98" spans="4:7" x14ac:dyDescent="0.2">
      <c r="D98" s="3"/>
      <c r="E98" s="3"/>
      <c r="F98" s="2"/>
      <c r="G98" s="2"/>
    </row>
    <row r="99" spans="4:7" x14ac:dyDescent="0.2">
      <c r="D99" s="3"/>
      <c r="E99" s="3"/>
      <c r="F99" s="2"/>
      <c r="G99" s="2"/>
    </row>
    <row r="100" spans="4:7" x14ac:dyDescent="0.2">
      <c r="D100" s="3"/>
      <c r="E100" s="3"/>
      <c r="F100" s="2"/>
      <c r="G10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Lists!$C$2:$C$5</xm:f>
          </x14:formula1>
          <xm:sqref>I2:I100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0"/>
  <sheetViews>
    <sheetView zoomScaleNormal="100" zoomScaleSheetLayoutView="100" workbookViewId="0"/>
  </sheetViews>
  <sheetFormatPr defaultRowHeight="15" x14ac:dyDescent="0.2"/>
  <cols>
    <col min="1" max="2" width="11.56640625" customWidth="1"/>
    <col min="3" max="3" width="9.953125" customWidth="1"/>
    <col min="4" max="4" width="10.22265625" customWidth="1"/>
    <col min="5" max="5" width="10.4921875" customWidth="1"/>
    <col min="6" max="6" width="13.046875" customWidth="1"/>
    <col min="7" max="7" width="13.1796875" customWidth="1"/>
    <col min="8" max="8" width="7.6640625" customWidth="1"/>
    <col min="9" max="9" width="8.609375" customWidth="1"/>
    <col min="10" max="10" width="8.203125" customWidth="1"/>
    <col min="11" max="11" width="7.3984375" customWidth="1"/>
  </cols>
  <sheetData>
    <row r="1" spans="1:11" x14ac:dyDescent="0.2">
      <c r="A1" s="1" t="s">
        <v>128</v>
      </c>
      <c r="B1" s="1" t="s">
        <v>3</v>
      </c>
      <c r="C1" s="1" t="s">
        <v>75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5</v>
      </c>
      <c r="I1" s="1" t="s">
        <v>133</v>
      </c>
      <c r="J1" s="1" t="s">
        <v>134</v>
      </c>
      <c r="K1" s="1" t="s">
        <v>17</v>
      </c>
    </row>
    <row r="2" spans="1:11" x14ac:dyDescent="0.2">
      <c r="A2" t="s">
        <v>135</v>
      </c>
      <c r="B2" t="s">
        <v>30</v>
      </c>
      <c r="C2" t="s">
        <v>77</v>
      </c>
      <c r="D2" s="3">
        <v>46023</v>
      </c>
      <c r="E2" s="3">
        <v>46023</v>
      </c>
      <c r="F2" s="2">
        <v>1500</v>
      </c>
      <c r="G2" s="2">
        <v>1500</v>
      </c>
      <c r="H2" s="2" t="s">
        <v>136</v>
      </c>
      <c r="I2" s="2">
        <f>F2-G2</f>
        <v>0</v>
      </c>
      <c r="J2" t="str">
        <f>TEXT(D2,"mmm yyyy")</f>
        <v>Jan 2026</v>
      </c>
    </row>
    <row r="3" spans="1:11" x14ac:dyDescent="0.2">
      <c r="A3" t="s">
        <v>137</v>
      </c>
      <c r="B3" t="s">
        <v>37</v>
      </c>
      <c r="C3" t="s">
        <v>81</v>
      </c>
      <c r="D3" s="3">
        <v>46023</v>
      </c>
      <c r="E3" s="3">
        <v>46023</v>
      </c>
      <c r="F3" s="2">
        <v>2100</v>
      </c>
      <c r="G3" s="2">
        <v>2100</v>
      </c>
      <c r="H3" s="2" t="s">
        <v>136</v>
      </c>
      <c r="I3" s="2">
        <f>F3-G3</f>
        <v>0</v>
      </c>
      <c r="J3" t="str">
        <f>TEXT(D3,"mmm yyyy")</f>
        <v>Jan 2026</v>
      </c>
    </row>
    <row r="4" spans="1:11" x14ac:dyDescent="0.2">
      <c r="A4" t="s">
        <v>138</v>
      </c>
      <c r="B4" t="s">
        <v>42</v>
      </c>
      <c r="C4" t="s">
        <v>85</v>
      </c>
      <c r="D4" s="3">
        <v>46023</v>
      </c>
      <c r="E4" s="3">
        <v>46023</v>
      </c>
      <c r="F4" s="2">
        <v>1200</v>
      </c>
      <c r="G4" s="2">
        <v>1200</v>
      </c>
      <c r="H4" s="2" t="s">
        <v>136</v>
      </c>
      <c r="I4" s="2">
        <f>F4-G4</f>
        <v>0</v>
      </c>
      <c r="J4" t="str">
        <f>TEXT(D4,"mmm yyyy")</f>
        <v>Jan 2026</v>
      </c>
    </row>
    <row r="5" spans="1:11" x14ac:dyDescent="0.2">
      <c r="A5" t="s">
        <v>139</v>
      </c>
      <c r="B5" t="s">
        <v>46</v>
      </c>
      <c r="C5" t="s">
        <v>89</v>
      </c>
      <c r="D5" s="3">
        <v>46023</v>
      </c>
      <c r="E5" s="3">
        <v>46023</v>
      </c>
      <c r="F5" s="2">
        <v>2500</v>
      </c>
      <c r="G5" s="2">
        <v>2500</v>
      </c>
      <c r="H5" s="2" t="s">
        <v>136</v>
      </c>
      <c r="I5" s="2">
        <f>F5-G5</f>
        <v>0</v>
      </c>
      <c r="J5" t="str">
        <f>TEXT(D5,"mmm yyyy")</f>
        <v>Jan 2026</v>
      </c>
    </row>
    <row r="6" spans="1:11" x14ac:dyDescent="0.2">
      <c r="A6" t="s">
        <v>140</v>
      </c>
      <c r="B6" t="s">
        <v>50</v>
      </c>
      <c r="C6" t="s">
        <v>93</v>
      </c>
      <c r="D6" s="3">
        <v>46023</v>
      </c>
      <c r="E6" s="3">
        <v>46023</v>
      </c>
      <c r="F6" s="2">
        <v>1600</v>
      </c>
      <c r="G6" s="2">
        <v>1600</v>
      </c>
      <c r="H6" s="2" t="s">
        <v>136</v>
      </c>
      <c r="I6" s="2">
        <f>F6-G6</f>
        <v>0</v>
      </c>
      <c r="J6" t="str">
        <f>TEXT(D6,"mmm yyyy")</f>
        <v>Jan 2026</v>
      </c>
    </row>
    <row r="7" spans="1:11" x14ac:dyDescent="0.2">
      <c r="A7" t="s">
        <v>141</v>
      </c>
      <c r="B7" t="s">
        <v>54</v>
      </c>
      <c r="C7" t="s">
        <v>97</v>
      </c>
      <c r="D7" s="3">
        <v>46023</v>
      </c>
      <c r="E7" s="3">
        <v>46023</v>
      </c>
      <c r="F7" s="2">
        <v>2000</v>
      </c>
      <c r="G7" s="2">
        <v>2000</v>
      </c>
      <c r="H7" s="2" t="s">
        <v>136</v>
      </c>
      <c r="I7" s="2">
        <f>F7-G7</f>
        <v>0</v>
      </c>
      <c r="J7" t="str">
        <f>TEXT(D7,"mmm yyyy")</f>
        <v>Jan 2026</v>
      </c>
    </row>
    <row r="8" spans="1:11" x14ac:dyDescent="0.2">
      <c r="A8" t="s">
        <v>142</v>
      </c>
      <c r="B8" t="s">
        <v>58</v>
      </c>
      <c r="C8" t="s">
        <v>101</v>
      </c>
      <c r="D8" s="3">
        <v>46023</v>
      </c>
      <c r="E8" s="3">
        <v>46023</v>
      </c>
      <c r="F8" s="2">
        <v>1100</v>
      </c>
      <c r="G8" s="2">
        <v>1100</v>
      </c>
      <c r="H8" s="2" t="s">
        <v>136</v>
      </c>
      <c r="I8" s="2">
        <f>F8-G8</f>
        <v>0</v>
      </c>
      <c r="J8" t="str">
        <f>TEXT(D8,"mmm yyyy")</f>
        <v>Jan 2026</v>
      </c>
    </row>
    <row r="9" spans="1:11" x14ac:dyDescent="0.2">
      <c r="A9" t="s">
        <v>143</v>
      </c>
      <c r="B9" t="s">
        <v>62</v>
      </c>
      <c r="C9" t="s">
        <v>105</v>
      </c>
      <c r="D9" s="3">
        <v>46023</v>
      </c>
      <c r="E9" s="3">
        <v>46023</v>
      </c>
      <c r="F9" s="2">
        <v>3000</v>
      </c>
      <c r="G9" s="2">
        <v>3000</v>
      </c>
      <c r="H9" s="2" t="s">
        <v>136</v>
      </c>
      <c r="I9" s="2">
        <f>F9-G9</f>
        <v>0</v>
      </c>
      <c r="J9" t="str">
        <f>TEXT(D9,"mmm yyyy")</f>
        <v>Jan 2026</v>
      </c>
    </row>
    <row r="10" spans="1:11" x14ac:dyDescent="0.2">
      <c r="A10" t="s">
        <v>144</v>
      </c>
      <c r="B10" t="s">
        <v>30</v>
      </c>
      <c r="C10" t="s">
        <v>77</v>
      </c>
      <c r="D10" s="3">
        <v>46054</v>
      </c>
      <c r="E10" s="3">
        <v>46054</v>
      </c>
      <c r="F10" s="2">
        <v>1500</v>
      </c>
      <c r="G10" s="2">
        <v>1500</v>
      </c>
      <c r="H10" s="2" t="s">
        <v>136</v>
      </c>
      <c r="I10" s="2">
        <f>F10-G10</f>
        <v>0</v>
      </c>
      <c r="J10" t="str">
        <f>TEXT(D10,"mmm yyyy")</f>
        <v>Feb 2026</v>
      </c>
    </row>
    <row r="11" spans="1:11" x14ac:dyDescent="0.2">
      <c r="A11" t="s">
        <v>145</v>
      </c>
      <c r="B11" t="s">
        <v>37</v>
      </c>
      <c r="C11" t="s">
        <v>81</v>
      </c>
      <c r="D11" s="3">
        <v>46054</v>
      </c>
      <c r="E11" s="3">
        <v>46054</v>
      </c>
      <c r="F11" s="2">
        <v>2100</v>
      </c>
      <c r="G11" s="2">
        <v>2100</v>
      </c>
      <c r="H11" s="2" t="s">
        <v>136</v>
      </c>
      <c r="I11" s="2">
        <f>F11-G11</f>
        <v>0</v>
      </c>
      <c r="J11" t="str">
        <f>TEXT(D11,"mmm yyyy")</f>
        <v>Feb 2026</v>
      </c>
    </row>
    <row r="12" spans="1:11" x14ac:dyDescent="0.2">
      <c r="A12" t="s">
        <v>146</v>
      </c>
      <c r="B12" t="s">
        <v>42</v>
      </c>
      <c r="C12" t="s">
        <v>85</v>
      </c>
      <c r="D12" s="3">
        <v>46054</v>
      </c>
      <c r="E12" s="3">
        <v>46054</v>
      </c>
      <c r="F12" s="2">
        <v>1200</v>
      </c>
      <c r="G12" s="2">
        <v>1200</v>
      </c>
      <c r="H12" s="2" t="s">
        <v>136</v>
      </c>
      <c r="I12" s="2">
        <f>F12-G12</f>
        <v>0</v>
      </c>
      <c r="J12" t="str">
        <f>TEXT(D12,"mmm yyyy")</f>
        <v>Feb 2026</v>
      </c>
    </row>
    <row r="13" spans="1:11" x14ac:dyDescent="0.2">
      <c r="A13" t="s">
        <v>147</v>
      </c>
      <c r="B13" t="s">
        <v>46</v>
      </c>
      <c r="C13" t="s">
        <v>89</v>
      </c>
      <c r="D13" s="3">
        <v>46054</v>
      </c>
      <c r="E13" s="3">
        <v>46054</v>
      </c>
      <c r="F13" s="2">
        <v>2500</v>
      </c>
      <c r="G13" s="2">
        <v>2500</v>
      </c>
      <c r="H13" s="2" t="s">
        <v>136</v>
      </c>
      <c r="I13" s="2">
        <f>F13-G13</f>
        <v>0</v>
      </c>
      <c r="J13" t="str">
        <f>TEXT(D13,"mmm yyyy")</f>
        <v>Feb 2026</v>
      </c>
    </row>
    <row r="14" spans="1:11" x14ac:dyDescent="0.2">
      <c r="A14" t="s">
        <v>148</v>
      </c>
      <c r="B14" t="s">
        <v>50</v>
      </c>
      <c r="C14" t="s">
        <v>93</v>
      </c>
      <c r="D14" s="3">
        <v>46054</v>
      </c>
      <c r="E14" s="3">
        <v>46054</v>
      </c>
      <c r="F14" s="2">
        <v>1600</v>
      </c>
      <c r="G14" s="2">
        <v>1600</v>
      </c>
      <c r="H14" s="2" t="s">
        <v>136</v>
      </c>
      <c r="I14" s="2">
        <f>F14-G14</f>
        <v>0</v>
      </c>
      <c r="J14" t="str">
        <f>TEXT(D14,"mmm yyyy")</f>
        <v>Feb 2026</v>
      </c>
    </row>
    <row r="15" spans="1:11" x14ac:dyDescent="0.2">
      <c r="A15" t="s">
        <v>149</v>
      </c>
      <c r="B15" t="s">
        <v>54</v>
      </c>
      <c r="C15" t="s">
        <v>97</v>
      </c>
      <c r="D15" s="3">
        <v>46054</v>
      </c>
      <c r="E15" s="3">
        <v>46054</v>
      </c>
      <c r="F15" s="2">
        <v>2000</v>
      </c>
      <c r="G15" s="2">
        <v>2000</v>
      </c>
      <c r="H15" s="2" t="s">
        <v>136</v>
      </c>
      <c r="I15" s="2">
        <f>F15-G15</f>
        <v>0</v>
      </c>
      <c r="J15" t="str">
        <f>TEXT(D15,"mmm yyyy")</f>
        <v>Feb 2026</v>
      </c>
    </row>
    <row r="16" spans="1:11" x14ac:dyDescent="0.2">
      <c r="A16" t="s">
        <v>150</v>
      </c>
      <c r="B16" t="s">
        <v>58</v>
      </c>
      <c r="C16" t="s">
        <v>101</v>
      </c>
      <c r="D16" s="3">
        <v>46054</v>
      </c>
      <c r="E16" s="3">
        <v>46054</v>
      </c>
      <c r="F16" s="2">
        <v>1100</v>
      </c>
      <c r="G16" s="2">
        <v>1100</v>
      </c>
      <c r="H16" s="2" t="s">
        <v>136</v>
      </c>
      <c r="I16" s="2">
        <f>F16-G16</f>
        <v>0</v>
      </c>
      <c r="J16" t="str">
        <f>TEXT(D16,"mmm yyyy")</f>
        <v>Feb 2026</v>
      </c>
    </row>
    <row r="17" spans="1:10" x14ac:dyDescent="0.2">
      <c r="A17" t="s">
        <v>151</v>
      </c>
      <c r="B17" t="s">
        <v>62</v>
      </c>
      <c r="C17" t="s">
        <v>105</v>
      </c>
      <c r="D17" s="3">
        <v>46054</v>
      </c>
      <c r="E17" s="3">
        <v>46054</v>
      </c>
      <c r="F17" s="2">
        <v>3000</v>
      </c>
      <c r="G17" s="2">
        <v>3000</v>
      </c>
      <c r="H17" s="2" t="s">
        <v>136</v>
      </c>
      <c r="I17" s="2">
        <f>F17-G17</f>
        <v>0</v>
      </c>
      <c r="J17" t="str">
        <f>TEXT(D17,"mmm yyyy")</f>
        <v>Feb 2026</v>
      </c>
    </row>
    <row r="18" spans="1:10" x14ac:dyDescent="0.2">
      <c r="A18" t="s">
        <v>152</v>
      </c>
      <c r="B18" t="s">
        <v>30</v>
      </c>
      <c r="C18" t="s">
        <v>77</v>
      </c>
      <c r="D18" s="3">
        <v>46082</v>
      </c>
      <c r="E18" s="3">
        <v>46082</v>
      </c>
      <c r="F18" s="2">
        <v>1500</v>
      </c>
      <c r="G18" s="2">
        <v>1500</v>
      </c>
      <c r="H18" s="2" t="s">
        <v>136</v>
      </c>
      <c r="I18" s="2">
        <f>F18-G18</f>
        <v>0</v>
      </c>
      <c r="J18" t="str">
        <f>TEXT(D18,"mmm yyyy")</f>
        <v>Mar 2026</v>
      </c>
    </row>
    <row r="19" spans="1:10" x14ac:dyDescent="0.2">
      <c r="A19" t="s">
        <v>153</v>
      </c>
      <c r="B19" t="s">
        <v>37</v>
      </c>
      <c r="C19" t="s">
        <v>81</v>
      </c>
      <c r="D19" s="3">
        <v>46082</v>
      </c>
      <c r="E19" s="3">
        <v>46082</v>
      </c>
      <c r="F19" s="2">
        <v>2100</v>
      </c>
      <c r="G19" s="2">
        <v>2100</v>
      </c>
      <c r="H19" s="2" t="s">
        <v>136</v>
      </c>
      <c r="I19" s="2">
        <f>F19-G19</f>
        <v>0</v>
      </c>
      <c r="J19" t="str">
        <f>TEXT(D19,"mmm yyyy")</f>
        <v>Mar 2026</v>
      </c>
    </row>
    <row r="20" spans="1:10" x14ac:dyDescent="0.2">
      <c r="A20" t="s">
        <v>154</v>
      </c>
      <c r="B20" t="s">
        <v>42</v>
      </c>
      <c r="C20" t="s">
        <v>85</v>
      </c>
      <c r="D20" s="3">
        <v>46082</v>
      </c>
      <c r="E20" s="3">
        <v>46082</v>
      </c>
      <c r="F20" s="2">
        <v>1200</v>
      </c>
      <c r="G20" s="2">
        <v>1200</v>
      </c>
      <c r="H20" s="2" t="s">
        <v>136</v>
      </c>
      <c r="I20" s="2">
        <f>F20-G20</f>
        <v>0</v>
      </c>
      <c r="J20" t="str">
        <f>TEXT(D20,"mmm yyyy")</f>
        <v>Mar 2026</v>
      </c>
    </row>
    <row r="21" spans="1:10" x14ac:dyDescent="0.2">
      <c r="A21" t="s">
        <v>155</v>
      </c>
      <c r="B21" t="s">
        <v>46</v>
      </c>
      <c r="C21" t="s">
        <v>89</v>
      </c>
      <c r="D21" s="3">
        <v>46082</v>
      </c>
      <c r="E21" s="3">
        <v>46082</v>
      </c>
      <c r="F21" s="2">
        <v>2500</v>
      </c>
      <c r="G21" s="2">
        <v>2500</v>
      </c>
      <c r="H21" s="2" t="s">
        <v>136</v>
      </c>
      <c r="I21" s="2">
        <f>F21-G21</f>
        <v>0</v>
      </c>
      <c r="J21" t="str">
        <f>TEXT(D21,"mmm yyyy")</f>
        <v>Mar 2026</v>
      </c>
    </row>
    <row r="22" spans="1:10" x14ac:dyDescent="0.2">
      <c r="A22" t="s">
        <v>156</v>
      </c>
      <c r="B22" t="s">
        <v>50</v>
      </c>
      <c r="C22" t="s">
        <v>93</v>
      </c>
      <c r="D22" s="3">
        <v>46082</v>
      </c>
      <c r="E22" s="3">
        <v>46082</v>
      </c>
      <c r="F22" s="2">
        <v>1600</v>
      </c>
      <c r="G22" s="2">
        <v>1600</v>
      </c>
      <c r="H22" s="2" t="s">
        <v>136</v>
      </c>
      <c r="I22" s="2">
        <f>F22-G22</f>
        <v>0</v>
      </c>
      <c r="J22" t="str">
        <f>TEXT(D22,"mmm yyyy")</f>
        <v>Mar 2026</v>
      </c>
    </row>
    <row r="23" spans="1:10" x14ac:dyDescent="0.2">
      <c r="A23" t="s">
        <v>157</v>
      </c>
      <c r="B23" t="s">
        <v>54</v>
      </c>
      <c r="C23" t="s">
        <v>97</v>
      </c>
      <c r="D23" s="3">
        <v>46082</v>
      </c>
      <c r="E23" s="3">
        <v>46082</v>
      </c>
      <c r="F23" s="2">
        <v>2000</v>
      </c>
      <c r="G23" s="2">
        <v>2000</v>
      </c>
      <c r="H23" s="2" t="s">
        <v>136</v>
      </c>
      <c r="I23" s="2">
        <f>F23-G23</f>
        <v>0</v>
      </c>
      <c r="J23" t="str">
        <f>TEXT(D23,"mmm yyyy")</f>
        <v>Mar 2026</v>
      </c>
    </row>
    <row r="24" spans="1:10" x14ac:dyDescent="0.2">
      <c r="A24" t="s">
        <v>158</v>
      </c>
      <c r="B24" t="s">
        <v>58</v>
      </c>
      <c r="C24" t="s">
        <v>101</v>
      </c>
      <c r="D24" s="3">
        <v>46082</v>
      </c>
      <c r="E24" s="3">
        <v>46082</v>
      </c>
      <c r="F24" s="2">
        <v>1100</v>
      </c>
      <c r="G24" s="2">
        <v>1100</v>
      </c>
      <c r="H24" s="2" t="s">
        <v>136</v>
      </c>
      <c r="I24" s="2">
        <f>F24-G24</f>
        <v>0</v>
      </c>
      <c r="J24" t="str">
        <f>TEXT(D24,"mmm yyyy")</f>
        <v>Mar 2026</v>
      </c>
    </row>
    <row r="25" spans="1:10" x14ac:dyDescent="0.2">
      <c r="A25" t="s">
        <v>159</v>
      </c>
      <c r="B25" t="s">
        <v>62</v>
      </c>
      <c r="C25" t="s">
        <v>105</v>
      </c>
      <c r="D25" s="3">
        <v>46082</v>
      </c>
      <c r="E25" s="3">
        <v>46082</v>
      </c>
      <c r="F25" s="2">
        <v>3000</v>
      </c>
      <c r="G25" s="2">
        <v>3000</v>
      </c>
      <c r="H25" s="2" t="s">
        <v>136</v>
      </c>
      <c r="I25" s="2">
        <f>F25-G25</f>
        <v>0</v>
      </c>
      <c r="J25" t="str">
        <f>TEXT(D25,"mmm yyyy")</f>
        <v>Mar 2026</v>
      </c>
    </row>
    <row r="26" spans="1:10" x14ac:dyDescent="0.2">
      <c r="A26" t="s">
        <v>160</v>
      </c>
      <c r="B26" t="s">
        <v>30</v>
      </c>
      <c r="C26" t="s">
        <v>77</v>
      </c>
      <c r="D26" s="3">
        <v>46113</v>
      </c>
      <c r="E26" s="3">
        <v>46113</v>
      </c>
      <c r="F26" s="2">
        <v>1500</v>
      </c>
      <c r="G26" s="2">
        <v>1500</v>
      </c>
      <c r="H26" s="2" t="s">
        <v>136</v>
      </c>
      <c r="I26" s="2">
        <f>F26-G26</f>
        <v>0</v>
      </c>
      <c r="J26" t="str">
        <f>TEXT(D26,"mmm yyyy")</f>
        <v>Apr 2026</v>
      </c>
    </row>
    <row r="27" spans="1:10" x14ac:dyDescent="0.2">
      <c r="A27" t="s">
        <v>161</v>
      </c>
      <c r="B27" t="s">
        <v>37</v>
      </c>
      <c r="C27" t="s">
        <v>81</v>
      </c>
      <c r="D27" s="3">
        <v>46113</v>
      </c>
      <c r="E27" s="3">
        <v>46113</v>
      </c>
      <c r="F27" s="2">
        <v>2100</v>
      </c>
      <c r="G27" s="2">
        <v>2100</v>
      </c>
      <c r="H27" s="2" t="s">
        <v>136</v>
      </c>
      <c r="I27" s="2">
        <f>F27-G27</f>
        <v>0</v>
      </c>
      <c r="J27" t="str">
        <f>TEXT(D27,"mmm yyyy")</f>
        <v>Apr 2026</v>
      </c>
    </row>
    <row r="28" spans="1:10" x14ac:dyDescent="0.2">
      <c r="A28" t="s">
        <v>162</v>
      </c>
      <c r="B28" t="s">
        <v>42</v>
      </c>
      <c r="C28" t="s">
        <v>85</v>
      </c>
      <c r="D28" s="3">
        <v>46113</v>
      </c>
      <c r="E28" s="3">
        <v>46113</v>
      </c>
      <c r="F28" s="2">
        <v>1200</v>
      </c>
      <c r="G28" s="2">
        <v>1200</v>
      </c>
      <c r="H28" s="2" t="s">
        <v>136</v>
      </c>
      <c r="I28" s="2">
        <f>F28-G28</f>
        <v>0</v>
      </c>
      <c r="J28" t="str">
        <f>TEXT(D28,"mmm yyyy")</f>
        <v>Apr 2026</v>
      </c>
    </row>
    <row r="29" spans="1:10" x14ac:dyDescent="0.2">
      <c r="A29" t="s">
        <v>163</v>
      </c>
      <c r="B29" t="s">
        <v>46</v>
      </c>
      <c r="C29" t="s">
        <v>89</v>
      </c>
      <c r="D29" s="3">
        <v>46113</v>
      </c>
      <c r="E29" s="3">
        <v>46113</v>
      </c>
      <c r="F29" s="2">
        <v>2500</v>
      </c>
      <c r="G29" s="2">
        <v>2500</v>
      </c>
      <c r="H29" s="2" t="s">
        <v>136</v>
      </c>
      <c r="I29" s="2">
        <f>F29-G29</f>
        <v>0</v>
      </c>
      <c r="J29" t="str">
        <f>TEXT(D29,"mmm yyyy")</f>
        <v>Apr 2026</v>
      </c>
    </row>
    <row r="30" spans="1:10" x14ac:dyDescent="0.2">
      <c r="A30" t="s">
        <v>164</v>
      </c>
      <c r="B30" t="s">
        <v>50</v>
      </c>
      <c r="C30" t="s">
        <v>93</v>
      </c>
      <c r="D30" s="3">
        <v>46113</v>
      </c>
      <c r="E30" s="3">
        <v>46113</v>
      </c>
      <c r="F30" s="2">
        <v>1600</v>
      </c>
      <c r="G30" s="2">
        <v>1600</v>
      </c>
      <c r="H30" s="2" t="s">
        <v>136</v>
      </c>
      <c r="I30" s="2">
        <f>F30-G30</f>
        <v>0</v>
      </c>
      <c r="J30" t="str">
        <f>TEXT(D30,"mmm yyyy")</f>
        <v>Apr 2026</v>
      </c>
    </row>
    <row r="31" spans="1:10" x14ac:dyDescent="0.2">
      <c r="A31" t="s">
        <v>165</v>
      </c>
      <c r="B31" t="s">
        <v>54</v>
      </c>
      <c r="C31" t="s">
        <v>97</v>
      </c>
      <c r="D31" s="3">
        <v>46113</v>
      </c>
      <c r="E31" s="3">
        <v>46113</v>
      </c>
      <c r="F31" s="2">
        <v>2000</v>
      </c>
      <c r="G31" s="2">
        <v>2000</v>
      </c>
      <c r="H31" s="2" t="s">
        <v>136</v>
      </c>
      <c r="I31" s="2">
        <f>F31-G31</f>
        <v>0</v>
      </c>
      <c r="J31" t="str">
        <f>TEXT(D31,"mmm yyyy")</f>
        <v>Apr 2026</v>
      </c>
    </row>
    <row r="32" spans="1:10" x14ac:dyDescent="0.2">
      <c r="A32" t="s">
        <v>166</v>
      </c>
      <c r="B32" t="s">
        <v>58</v>
      </c>
      <c r="C32" t="s">
        <v>101</v>
      </c>
      <c r="D32" s="3">
        <v>46113</v>
      </c>
      <c r="E32" s="3">
        <v>46113</v>
      </c>
      <c r="F32" s="2">
        <v>1100</v>
      </c>
      <c r="G32" s="2">
        <v>1100</v>
      </c>
      <c r="H32" s="2" t="s">
        <v>136</v>
      </c>
      <c r="I32" s="2">
        <f>F32-G32</f>
        <v>0</v>
      </c>
      <c r="J32" t="str">
        <f>TEXT(D32,"mmm yyyy")</f>
        <v>Apr 2026</v>
      </c>
    </row>
    <row r="33" spans="1:10" x14ac:dyDescent="0.2">
      <c r="A33" t="s">
        <v>167</v>
      </c>
      <c r="B33" t="s">
        <v>62</v>
      </c>
      <c r="C33" t="s">
        <v>105</v>
      </c>
      <c r="D33" s="3">
        <v>46113</v>
      </c>
      <c r="E33" s="3">
        <v>46113</v>
      </c>
      <c r="F33" s="2">
        <v>3000</v>
      </c>
      <c r="G33" s="2">
        <v>3000</v>
      </c>
      <c r="H33" s="2" t="s">
        <v>136</v>
      </c>
      <c r="I33" s="2">
        <f>F33-G33</f>
        <v>0</v>
      </c>
      <c r="J33" t="str">
        <f>TEXT(D33,"mmm yyyy")</f>
        <v>Apr 2026</v>
      </c>
    </row>
    <row r="34" spans="1:10" x14ac:dyDescent="0.2">
      <c r="A34" t="s">
        <v>168</v>
      </c>
      <c r="B34" t="s">
        <v>30</v>
      </c>
      <c r="C34" t="s">
        <v>77</v>
      </c>
      <c r="D34" s="3">
        <v>46143</v>
      </c>
      <c r="E34" s="3">
        <v>46143</v>
      </c>
      <c r="F34" s="2">
        <v>1500</v>
      </c>
      <c r="G34" s="2">
        <v>1500</v>
      </c>
      <c r="H34" s="2" t="s">
        <v>136</v>
      </c>
      <c r="I34" s="2">
        <f>F34-G34</f>
        <v>0</v>
      </c>
      <c r="J34" t="str">
        <f>TEXT(D34,"mmm yyyy")</f>
        <v>May 2026</v>
      </c>
    </row>
    <row r="35" spans="1:10" x14ac:dyDescent="0.2">
      <c r="A35" t="s">
        <v>169</v>
      </c>
      <c r="B35" t="s">
        <v>37</v>
      </c>
      <c r="C35" t="s">
        <v>81</v>
      </c>
      <c r="D35" s="3">
        <v>46143</v>
      </c>
      <c r="E35" s="3">
        <v>46143</v>
      </c>
      <c r="F35" s="2">
        <v>2100</v>
      </c>
      <c r="G35" s="2">
        <v>1000</v>
      </c>
      <c r="H35" s="2" t="s">
        <v>170</v>
      </c>
      <c r="I35" s="2">
        <f>F35-G35</f>
        <v>1100</v>
      </c>
      <c r="J35" t="str">
        <f>TEXT(D35,"mmm yyyy")</f>
        <v>May 2026</v>
      </c>
    </row>
    <row r="36" spans="1:10" x14ac:dyDescent="0.2">
      <c r="A36" t="s">
        <v>171</v>
      </c>
      <c r="B36" t="s">
        <v>42</v>
      </c>
      <c r="C36" t="s">
        <v>85</v>
      </c>
      <c r="D36" s="3">
        <v>46143</v>
      </c>
      <c r="E36" s="3">
        <v>46143</v>
      </c>
      <c r="F36" s="2">
        <v>1200</v>
      </c>
      <c r="G36" s="2">
        <v>1200</v>
      </c>
      <c r="H36" s="2" t="s">
        <v>136</v>
      </c>
      <c r="I36" s="2">
        <f>F36-G36</f>
        <v>0</v>
      </c>
      <c r="J36" t="str">
        <f>TEXT(D36,"mmm yyyy")</f>
        <v>May 2026</v>
      </c>
    </row>
    <row r="37" spans="1:10" x14ac:dyDescent="0.2">
      <c r="A37" t="s">
        <v>172</v>
      </c>
      <c r="B37" t="s">
        <v>46</v>
      </c>
      <c r="C37" t="s">
        <v>89</v>
      </c>
      <c r="D37" s="3">
        <v>46143</v>
      </c>
      <c r="E37" s="3">
        <v>46143</v>
      </c>
      <c r="F37" s="2">
        <v>2500</v>
      </c>
      <c r="G37" s="2">
        <v>2500</v>
      </c>
      <c r="H37" s="2" t="s">
        <v>136</v>
      </c>
      <c r="I37" s="2">
        <f>F37-G37</f>
        <v>0</v>
      </c>
      <c r="J37" t="str">
        <f>TEXT(D37,"mmm yyyy")</f>
        <v>May 2026</v>
      </c>
    </row>
    <row r="38" spans="1:10" x14ac:dyDescent="0.2">
      <c r="A38" t="s">
        <v>173</v>
      </c>
      <c r="B38" t="s">
        <v>50</v>
      </c>
      <c r="C38" t="s">
        <v>93</v>
      </c>
      <c r="D38" s="3">
        <v>46143</v>
      </c>
      <c r="E38" s="3">
        <v>46143</v>
      </c>
      <c r="F38" s="2">
        <v>1600</v>
      </c>
      <c r="G38" s="2">
        <v>1600</v>
      </c>
      <c r="H38" s="2" t="s">
        <v>136</v>
      </c>
      <c r="I38" s="2">
        <f>F38-G38</f>
        <v>0</v>
      </c>
      <c r="J38" t="str">
        <f>TEXT(D38,"mmm yyyy")</f>
        <v>May 2026</v>
      </c>
    </row>
    <row r="39" spans="1:10" x14ac:dyDescent="0.2">
      <c r="A39" t="s">
        <v>174</v>
      </c>
      <c r="B39" t="s">
        <v>54</v>
      </c>
      <c r="C39" t="s">
        <v>97</v>
      </c>
      <c r="D39" s="3">
        <v>46143</v>
      </c>
      <c r="E39" s="3"/>
      <c r="F39" s="2">
        <v>2000</v>
      </c>
      <c r="G39" s="2">
        <v>0</v>
      </c>
      <c r="H39" s="2" t="s">
        <v>175</v>
      </c>
      <c r="I39" s="2">
        <f>F39-G39</f>
        <v>2000</v>
      </c>
      <c r="J39" t="str">
        <f>TEXT(D39,"mmm yyyy")</f>
        <v>May 2026</v>
      </c>
    </row>
    <row r="40" spans="1:10" x14ac:dyDescent="0.2">
      <c r="A40" t="s">
        <v>176</v>
      </c>
      <c r="B40" t="s">
        <v>58</v>
      </c>
      <c r="C40" t="s">
        <v>101</v>
      </c>
      <c r="D40" s="3">
        <v>46143</v>
      </c>
      <c r="E40" s="3">
        <v>46143</v>
      </c>
      <c r="F40" s="2">
        <v>1100</v>
      </c>
      <c r="G40" s="2">
        <v>1100</v>
      </c>
      <c r="H40" s="2" t="s">
        <v>136</v>
      </c>
      <c r="I40" s="2">
        <f>F40-G40</f>
        <v>0</v>
      </c>
      <c r="J40" t="str">
        <f>TEXT(D40,"mmm yyyy")</f>
        <v>May 2026</v>
      </c>
    </row>
    <row r="41" spans="1:10" x14ac:dyDescent="0.2">
      <c r="A41" t="s">
        <v>177</v>
      </c>
      <c r="B41" t="s">
        <v>62</v>
      </c>
      <c r="C41" t="s">
        <v>105</v>
      </c>
      <c r="D41" s="3">
        <v>46143</v>
      </c>
      <c r="E41" s="3">
        <v>46143</v>
      </c>
      <c r="F41" s="2">
        <v>3000</v>
      </c>
      <c r="G41" s="2">
        <v>3000</v>
      </c>
      <c r="H41" s="2" t="s">
        <v>136</v>
      </c>
      <c r="I41" s="2">
        <f>F41-G41</f>
        <v>0</v>
      </c>
      <c r="J41" t="str">
        <f>TEXT(D41,"mmm yyyy")</f>
        <v>May 2026</v>
      </c>
    </row>
    <row r="42" spans="1:10" x14ac:dyDescent="0.2">
      <c r="A42" t="s">
        <v>178</v>
      </c>
      <c r="B42" t="s">
        <v>30</v>
      </c>
      <c r="C42" t="s">
        <v>77</v>
      </c>
      <c r="D42" s="3">
        <v>46174</v>
      </c>
      <c r="E42" s="3">
        <v>46174</v>
      </c>
      <c r="F42" s="2">
        <v>1500</v>
      </c>
      <c r="G42" s="2">
        <v>1500</v>
      </c>
      <c r="H42" s="2" t="s">
        <v>136</v>
      </c>
      <c r="I42" s="2">
        <f>F42-G42</f>
        <v>0</v>
      </c>
      <c r="J42" t="str">
        <f>TEXT(D42,"mmm yyyy")</f>
        <v>Jun 2026</v>
      </c>
    </row>
    <row r="43" spans="1:10" x14ac:dyDescent="0.2">
      <c r="A43" t="s">
        <v>179</v>
      </c>
      <c r="B43" t="s">
        <v>37</v>
      </c>
      <c r="C43" t="s">
        <v>81</v>
      </c>
      <c r="D43" s="3">
        <v>46174</v>
      </c>
      <c r="E43" s="3">
        <v>46174</v>
      </c>
      <c r="F43" s="2">
        <v>2100</v>
      </c>
      <c r="G43" s="2">
        <v>2100</v>
      </c>
      <c r="H43" s="2" t="s">
        <v>136</v>
      </c>
      <c r="I43" s="2">
        <f>F43-G43</f>
        <v>0</v>
      </c>
      <c r="J43" t="str">
        <f>TEXT(D43,"mmm yyyy")</f>
        <v>Jun 2026</v>
      </c>
    </row>
    <row r="44" spans="1:10" x14ac:dyDescent="0.2">
      <c r="A44" t="s">
        <v>180</v>
      </c>
      <c r="B44" t="s">
        <v>42</v>
      </c>
      <c r="C44" t="s">
        <v>85</v>
      </c>
      <c r="D44" s="3">
        <v>46174</v>
      </c>
      <c r="E44" s="3">
        <v>46174</v>
      </c>
      <c r="F44" s="2">
        <v>1200</v>
      </c>
      <c r="G44" s="2">
        <v>1200</v>
      </c>
      <c r="H44" s="2" t="s">
        <v>136</v>
      </c>
      <c r="I44" s="2">
        <f>F44-G44</f>
        <v>0</v>
      </c>
      <c r="J44" t="str">
        <f>TEXT(D44,"mmm yyyy")</f>
        <v>Jun 2026</v>
      </c>
    </row>
    <row r="45" spans="1:10" x14ac:dyDescent="0.2">
      <c r="A45" t="s">
        <v>181</v>
      </c>
      <c r="B45" t="s">
        <v>46</v>
      </c>
      <c r="C45" t="s">
        <v>89</v>
      </c>
      <c r="D45" s="3">
        <v>46174</v>
      </c>
      <c r="E45" s="3">
        <v>46174</v>
      </c>
      <c r="F45" s="2">
        <v>2500</v>
      </c>
      <c r="G45" s="2">
        <v>2500</v>
      </c>
      <c r="H45" s="2" t="s">
        <v>136</v>
      </c>
      <c r="I45" s="2">
        <f>F45-G45</f>
        <v>0</v>
      </c>
      <c r="J45" t="str">
        <f>TEXT(D45,"mmm yyyy")</f>
        <v>Jun 2026</v>
      </c>
    </row>
    <row r="46" spans="1:10" x14ac:dyDescent="0.2">
      <c r="A46" t="s">
        <v>182</v>
      </c>
      <c r="B46" t="s">
        <v>50</v>
      </c>
      <c r="C46" t="s">
        <v>93</v>
      </c>
      <c r="D46" s="3">
        <v>46174</v>
      </c>
      <c r="E46" s="3">
        <v>46174</v>
      </c>
      <c r="F46" s="2">
        <v>1600</v>
      </c>
      <c r="G46" s="2">
        <v>1600</v>
      </c>
      <c r="H46" s="2" t="s">
        <v>136</v>
      </c>
      <c r="I46" s="2">
        <f>F46-G46</f>
        <v>0</v>
      </c>
      <c r="J46" t="str">
        <f>TEXT(D46,"mmm yyyy")</f>
        <v>Jun 2026</v>
      </c>
    </row>
    <row r="47" spans="1:10" x14ac:dyDescent="0.2">
      <c r="A47" t="s">
        <v>183</v>
      </c>
      <c r="B47" t="s">
        <v>54</v>
      </c>
      <c r="C47" t="s">
        <v>97</v>
      </c>
      <c r="D47" s="3">
        <v>46174</v>
      </c>
      <c r="E47" s="3">
        <v>46174</v>
      </c>
      <c r="F47" s="2">
        <v>2000</v>
      </c>
      <c r="G47" s="2">
        <v>2000</v>
      </c>
      <c r="H47" s="2" t="s">
        <v>136</v>
      </c>
      <c r="I47" s="2">
        <f>F47-G47</f>
        <v>0</v>
      </c>
      <c r="J47" t="str">
        <f>TEXT(D47,"mmm yyyy")</f>
        <v>Jun 2026</v>
      </c>
    </row>
    <row r="48" spans="1:10" x14ac:dyDescent="0.2">
      <c r="A48" t="s">
        <v>184</v>
      </c>
      <c r="B48" t="s">
        <v>58</v>
      </c>
      <c r="C48" t="s">
        <v>101</v>
      </c>
      <c r="D48" s="3">
        <v>46174</v>
      </c>
      <c r="E48" s="3">
        <v>46174</v>
      </c>
      <c r="F48" s="2">
        <v>1100</v>
      </c>
      <c r="G48" s="2">
        <v>1100</v>
      </c>
      <c r="H48" s="2" t="s">
        <v>136</v>
      </c>
      <c r="I48" s="2">
        <f>F48-G48</f>
        <v>0</v>
      </c>
      <c r="J48" t="str">
        <f>TEXT(D48,"mmm yyyy")</f>
        <v>Jun 2026</v>
      </c>
    </row>
    <row r="49" spans="1:10" x14ac:dyDescent="0.2">
      <c r="A49" t="s">
        <v>185</v>
      </c>
      <c r="B49" t="s">
        <v>62</v>
      </c>
      <c r="C49" t="s">
        <v>105</v>
      </c>
      <c r="D49" s="3">
        <v>46174</v>
      </c>
      <c r="E49" s="3">
        <v>46174</v>
      </c>
      <c r="F49" s="2">
        <v>3000</v>
      </c>
      <c r="G49" s="2">
        <v>3000</v>
      </c>
      <c r="H49" s="2" t="s">
        <v>136</v>
      </c>
      <c r="I49" s="2">
        <f>F49-G49</f>
        <v>0</v>
      </c>
      <c r="J49" t="str">
        <f>TEXT(D49,"mmm yyyy")</f>
        <v>Jun 2026</v>
      </c>
    </row>
    <row r="50" spans="1:10" x14ac:dyDescent="0.2">
      <c r="D50" s="3"/>
      <c r="E50" s="3"/>
      <c r="F50" s="2"/>
      <c r="G50" s="2"/>
      <c r="H50" s="2"/>
      <c r="I50" s="2"/>
    </row>
    <row r="51" spans="1:10" x14ac:dyDescent="0.2">
      <c r="D51" s="3"/>
      <c r="E51" s="3"/>
      <c r="F51" s="2"/>
      <c r="G51" s="2"/>
      <c r="H51" s="2"/>
      <c r="I51" s="2"/>
    </row>
    <row r="52" spans="1:10" x14ac:dyDescent="0.2">
      <c r="D52" s="3"/>
      <c r="E52" s="3"/>
      <c r="F52" s="2"/>
      <c r="G52" s="2"/>
      <c r="H52" s="2"/>
      <c r="I52" s="2"/>
    </row>
    <row r="53" spans="1:10" x14ac:dyDescent="0.2">
      <c r="D53" s="3"/>
      <c r="E53" s="3"/>
      <c r="F53" s="2"/>
      <c r="G53" s="2"/>
      <c r="H53" s="2"/>
      <c r="I53" s="2"/>
    </row>
    <row r="54" spans="1:10" x14ac:dyDescent="0.2">
      <c r="D54" s="3"/>
      <c r="E54" s="3"/>
      <c r="F54" s="2"/>
      <c r="G54" s="2"/>
      <c r="H54" s="2"/>
      <c r="I54" s="2"/>
    </row>
    <row r="55" spans="1:10" x14ac:dyDescent="0.2">
      <c r="D55" s="3"/>
      <c r="E55" s="3"/>
      <c r="F55" s="2"/>
      <c r="G55" s="2"/>
      <c r="H55" s="2"/>
      <c r="I55" s="2"/>
    </row>
    <row r="56" spans="1:10" x14ac:dyDescent="0.2">
      <c r="D56" s="3"/>
      <c r="E56" s="3"/>
      <c r="F56" s="2"/>
      <c r="G56" s="2"/>
      <c r="H56" s="2"/>
      <c r="I56" s="2"/>
    </row>
    <row r="57" spans="1:10" x14ac:dyDescent="0.2">
      <c r="D57" s="3"/>
      <c r="E57" s="3"/>
      <c r="F57" s="2"/>
      <c r="G57" s="2"/>
      <c r="H57" s="2"/>
      <c r="I57" s="2"/>
    </row>
    <row r="58" spans="1:10" x14ac:dyDescent="0.2">
      <c r="D58" s="3"/>
      <c r="E58" s="3"/>
      <c r="F58" s="2"/>
      <c r="G58" s="2"/>
      <c r="H58" s="2"/>
      <c r="I58" s="2"/>
    </row>
    <row r="59" spans="1:10" x14ac:dyDescent="0.2">
      <c r="D59" s="3"/>
      <c r="E59" s="3"/>
      <c r="F59" s="2"/>
      <c r="G59" s="2"/>
      <c r="H59" s="2"/>
      <c r="I59" s="2"/>
    </row>
    <row r="60" spans="1:10" x14ac:dyDescent="0.2">
      <c r="D60" s="3"/>
      <c r="E60" s="3"/>
      <c r="F60" s="2"/>
      <c r="G60" s="2"/>
      <c r="H60" s="2"/>
      <c r="I60" s="2"/>
    </row>
    <row r="61" spans="1:10" x14ac:dyDescent="0.2">
      <c r="D61" s="3"/>
      <c r="E61" s="3"/>
      <c r="F61" s="2"/>
      <c r="G61" s="2"/>
      <c r="H61" s="2"/>
      <c r="I61" s="2"/>
    </row>
    <row r="62" spans="1:10" x14ac:dyDescent="0.2">
      <c r="D62" s="3"/>
      <c r="E62" s="3"/>
      <c r="F62" s="2"/>
      <c r="G62" s="2"/>
      <c r="H62" s="2"/>
      <c r="I62" s="2"/>
    </row>
    <row r="63" spans="1:10" x14ac:dyDescent="0.2">
      <c r="D63" s="3"/>
      <c r="E63" s="3"/>
      <c r="F63" s="2"/>
      <c r="G63" s="2"/>
      <c r="H63" s="2"/>
      <c r="I63" s="2"/>
    </row>
    <row r="64" spans="1:10" x14ac:dyDescent="0.2">
      <c r="D64" s="3"/>
      <c r="E64" s="3"/>
      <c r="F64" s="2"/>
      <c r="G64" s="2"/>
      <c r="H64" s="2"/>
      <c r="I64" s="2"/>
    </row>
    <row r="65" spans="4:9" x14ac:dyDescent="0.2">
      <c r="D65" s="3"/>
      <c r="E65" s="3"/>
      <c r="F65" s="2"/>
      <c r="G65" s="2"/>
      <c r="H65" s="2"/>
      <c r="I65" s="2"/>
    </row>
    <row r="66" spans="4:9" x14ac:dyDescent="0.2">
      <c r="D66" s="3"/>
      <c r="E66" s="3"/>
      <c r="F66" s="2"/>
      <c r="G66" s="2"/>
      <c r="H66" s="2"/>
      <c r="I66" s="2"/>
    </row>
    <row r="67" spans="4:9" x14ac:dyDescent="0.2">
      <c r="D67" s="3"/>
      <c r="E67" s="3"/>
      <c r="F67" s="2"/>
      <c r="G67" s="2"/>
      <c r="H67" s="2"/>
      <c r="I67" s="2"/>
    </row>
    <row r="68" spans="4:9" x14ac:dyDescent="0.2">
      <c r="D68" s="3"/>
      <c r="E68" s="3"/>
      <c r="F68" s="2"/>
      <c r="G68" s="2"/>
      <c r="H68" s="2"/>
      <c r="I68" s="2"/>
    </row>
    <row r="69" spans="4:9" x14ac:dyDescent="0.2">
      <c r="D69" s="3"/>
      <c r="E69" s="3"/>
      <c r="F69" s="2"/>
      <c r="G69" s="2"/>
      <c r="H69" s="2"/>
      <c r="I69" s="2"/>
    </row>
    <row r="70" spans="4:9" x14ac:dyDescent="0.2">
      <c r="D70" s="3"/>
      <c r="E70" s="3"/>
      <c r="F70" s="2"/>
      <c r="G70" s="2"/>
      <c r="H70" s="2"/>
      <c r="I70" s="2"/>
    </row>
    <row r="71" spans="4:9" x14ac:dyDescent="0.2">
      <c r="D71" s="3"/>
      <c r="E71" s="3"/>
      <c r="F71" s="2"/>
      <c r="G71" s="2"/>
      <c r="H71" s="2"/>
      <c r="I71" s="2"/>
    </row>
    <row r="72" spans="4:9" x14ac:dyDescent="0.2">
      <c r="D72" s="3"/>
      <c r="E72" s="3"/>
      <c r="F72" s="2"/>
      <c r="G72" s="2"/>
      <c r="H72" s="2"/>
      <c r="I72" s="2"/>
    </row>
    <row r="73" spans="4:9" x14ac:dyDescent="0.2">
      <c r="D73" s="3"/>
      <c r="E73" s="3"/>
      <c r="F73" s="2"/>
      <c r="G73" s="2"/>
      <c r="H73" s="2"/>
      <c r="I73" s="2"/>
    </row>
    <row r="74" spans="4:9" x14ac:dyDescent="0.2">
      <c r="D74" s="3"/>
      <c r="E74" s="3"/>
      <c r="F74" s="2"/>
      <c r="G74" s="2"/>
      <c r="H74" s="2"/>
      <c r="I74" s="2"/>
    </row>
    <row r="75" spans="4:9" x14ac:dyDescent="0.2">
      <c r="D75" s="3"/>
      <c r="E75" s="3"/>
      <c r="F75" s="2"/>
      <c r="G75" s="2"/>
      <c r="H75" s="2"/>
      <c r="I75" s="2"/>
    </row>
    <row r="76" spans="4:9" x14ac:dyDescent="0.2">
      <c r="D76" s="3"/>
      <c r="E76" s="3"/>
      <c r="F76" s="2"/>
      <c r="G76" s="2"/>
      <c r="H76" s="2"/>
      <c r="I76" s="2"/>
    </row>
    <row r="77" spans="4:9" x14ac:dyDescent="0.2">
      <c r="D77" s="3"/>
      <c r="E77" s="3"/>
      <c r="F77" s="2"/>
      <c r="G77" s="2"/>
      <c r="H77" s="2"/>
      <c r="I77" s="2"/>
    </row>
    <row r="78" spans="4:9" x14ac:dyDescent="0.2">
      <c r="D78" s="3"/>
      <c r="E78" s="3"/>
      <c r="F78" s="2"/>
      <c r="G78" s="2"/>
      <c r="H78" s="2"/>
      <c r="I78" s="2"/>
    </row>
    <row r="79" spans="4:9" x14ac:dyDescent="0.2">
      <c r="D79" s="3"/>
      <c r="E79" s="3"/>
      <c r="F79" s="2"/>
      <c r="G79" s="2"/>
      <c r="H79" s="2"/>
      <c r="I79" s="2"/>
    </row>
    <row r="80" spans="4:9" x14ac:dyDescent="0.2">
      <c r="D80" s="3"/>
      <c r="E80" s="3"/>
      <c r="F80" s="2"/>
      <c r="G80" s="2"/>
      <c r="H80" s="2"/>
      <c r="I80" s="2"/>
    </row>
    <row r="81" spans="4:9" x14ac:dyDescent="0.2">
      <c r="D81" s="3"/>
      <c r="E81" s="3"/>
      <c r="F81" s="2"/>
      <c r="G81" s="2"/>
      <c r="H81" s="2"/>
      <c r="I81" s="2"/>
    </row>
    <row r="82" spans="4:9" x14ac:dyDescent="0.2">
      <c r="D82" s="3"/>
      <c r="E82" s="3"/>
      <c r="F82" s="2"/>
      <c r="G82" s="2"/>
      <c r="H82" s="2"/>
      <c r="I82" s="2"/>
    </row>
    <row r="83" spans="4:9" x14ac:dyDescent="0.2">
      <c r="D83" s="3"/>
      <c r="E83" s="3"/>
      <c r="F83" s="2"/>
      <c r="G83" s="2"/>
      <c r="H83" s="2"/>
      <c r="I83" s="2"/>
    </row>
    <row r="84" spans="4:9" x14ac:dyDescent="0.2">
      <c r="D84" s="3"/>
      <c r="E84" s="3"/>
      <c r="F84" s="2"/>
      <c r="G84" s="2"/>
      <c r="H84" s="2"/>
      <c r="I84" s="2"/>
    </row>
    <row r="85" spans="4:9" x14ac:dyDescent="0.2">
      <c r="D85" s="3"/>
      <c r="E85" s="3"/>
      <c r="F85" s="2"/>
      <c r="G85" s="2"/>
      <c r="H85" s="2"/>
      <c r="I85" s="2"/>
    </row>
    <row r="86" spans="4:9" x14ac:dyDescent="0.2">
      <c r="D86" s="3"/>
      <c r="E86" s="3"/>
      <c r="F86" s="2"/>
      <c r="G86" s="2"/>
      <c r="H86" s="2"/>
      <c r="I86" s="2"/>
    </row>
    <row r="87" spans="4:9" x14ac:dyDescent="0.2">
      <c r="D87" s="3"/>
      <c r="E87" s="3"/>
      <c r="F87" s="2"/>
      <c r="G87" s="2"/>
      <c r="H87" s="2"/>
      <c r="I87" s="2"/>
    </row>
    <row r="88" spans="4:9" x14ac:dyDescent="0.2">
      <c r="D88" s="3"/>
      <c r="E88" s="3"/>
      <c r="F88" s="2"/>
      <c r="G88" s="2"/>
      <c r="H88" s="2"/>
      <c r="I88" s="2"/>
    </row>
    <row r="89" spans="4:9" x14ac:dyDescent="0.2">
      <c r="D89" s="3"/>
      <c r="E89" s="3"/>
      <c r="F89" s="2"/>
      <c r="G89" s="2"/>
      <c r="H89" s="2"/>
      <c r="I89" s="2"/>
    </row>
    <row r="90" spans="4:9" x14ac:dyDescent="0.2">
      <c r="D90" s="3"/>
      <c r="E90" s="3"/>
      <c r="F90" s="2"/>
      <c r="G90" s="2"/>
      <c r="H90" s="2"/>
      <c r="I90" s="2"/>
    </row>
    <row r="91" spans="4:9" x14ac:dyDescent="0.2">
      <c r="D91" s="3"/>
      <c r="E91" s="3"/>
      <c r="F91" s="2"/>
      <c r="G91" s="2"/>
      <c r="H91" s="2"/>
      <c r="I91" s="2"/>
    </row>
    <row r="92" spans="4:9" x14ac:dyDescent="0.2">
      <c r="D92" s="3"/>
      <c r="E92" s="3"/>
      <c r="F92" s="2"/>
      <c r="G92" s="2"/>
      <c r="H92" s="2"/>
      <c r="I92" s="2"/>
    </row>
    <row r="93" spans="4:9" x14ac:dyDescent="0.2">
      <c r="D93" s="3"/>
      <c r="E93" s="3"/>
      <c r="F93" s="2"/>
      <c r="G93" s="2"/>
      <c r="H93" s="2"/>
      <c r="I93" s="2"/>
    </row>
    <row r="94" spans="4:9" x14ac:dyDescent="0.2">
      <c r="D94" s="3"/>
      <c r="E94" s="3"/>
      <c r="F94" s="2"/>
      <c r="G94" s="2"/>
      <c r="H94" s="2"/>
      <c r="I94" s="2"/>
    </row>
    <row r="95" spans="4:9" x14ac:dyDescent="0.2">
      <c r="D95" s="3"/>
      <c r="E95" s="3"/>
      <c r="F95" s="2"/>
      <c r="G95" s="2"/>
      <c r="H95" s="2"/>
      <c r="I95" s="2"/>
    </row>
    <row r="96" spans="4:9" x14ac:dyDescent="0.2">
      <c r="D96" s="3"/>
      <c r="E96" s="3"/>
      <c r="F96" s="2"/>
      <c r="G96" s="2"/>
      <c r="H96" s="2"/>
      <c r="I96" s="2"/>
    </row>
    <row r="97" spans="4:9" x14ac:dyDescent="0.2">
      <c r="D97" s="3"/>
      <c r="E97" s="3"/>
      <c r="F97" s="2"/>
      <c r="G97" s="2"/>
      <c r="H97" s="2"/>
      <c r="I97" s="2"/>
    </row>
    <row r="98" spans="4:9" x14ac:dyDescent="0.2">
      <c r="D98" s="3"/>
      <c r="E98" s="3"/>
      <c r="F98" s="2"/>
      <c r="G98" s="2"/>
      <c r="H98" s="2"/>
      <c r="I98" s="2"/>
    </row>
    <row r="99" spans="4:9" x14ac:dyDescent="0.2">
      <c r="D99" s="3"/>
      <c r="E99" s="3"/>
      <c r="F99" s="2"/>
      <c r="G99" s="2"/>
      <c r="H99" s="2"/>
      <c r="I99" s="2"/>
    </row>
    <row r="100" spans="4:9" x14ac:dyDescent="0.2">
      <c r="D100" s="3"/>
      <c r="E100" s="3"/>
      <c r="F100" s="2"/>
      <c r="G100" s="2"/>
      <c r="H100" s="2"/>
      <c r="I100" s="2"/>
    </row>
    <row r="101" spans="4:9" x14ac:dyDescent="0.2">
      <c r="D101" s="3"/>
      <c r="E101" s="3"/>
      <c r="F101" s="2"/>
      <c r="G101" s="2"/>
      <c r="H101" s="2"/>
      <c r="I101" s="2"/>
    </row>
    <row r="102" spans="4:9" x14ac:dyDescent="0.2">
      <c r="D102" s="3"/>
      <c r="E102" s="3"/>
      <c r="F102" s="2"/>
      <c r="G102" s="2"/>
      <c r="H102" s="2"/>
      <c r="I102" s="2"/>
    </row>
    <row r="103" spans="4:9" x14ac:dyDescent="0.2">
      <c r="D103" s="3"/>
      <c r="E103" s="3"/>
      <c r="F103" s="2"/>
      <c r="G103" s="2"/>
      <c r="H103" s="2"/>
      <c r="I103" s="2"/>
    </row>
    <row r="104" spans="4:9" x14ac:dyDescent="0.2">
      <c r="D104" s="3"/>
      <c r="E104" s="3"/>
      <c r="F104" s="2"/>
      <c r="G104" s="2"/>
      <c r="H104" s="2"/>
      <c r="I104" s="2"/>
    </row>
    <row r="105" spans="4:9" x14ac:dyDescent="0.2">
      <c r="D105" s="3"/>
      <c r="E105" s="3"/>
      <c r="F105" s="2"/>
      <c r="G105" s="2"/>
      <c r="H105" s="2"/>
      <c r="I105" s="2"/>
    </row>
    <row r="106" spans="4:9" x14ac:dyDescent="0.2">
      <c r="D106" s="3"/>
      <c r="E106" s="3"/>
      <c r="F106" s="2"/>
      <c r="G106" s="2"/>
      <c r="H106" s="2"/>
      <c r="I106" s="2"/>
    </row>
    <row r="107" spans="4:9" x14ac:dyDescent="0.2">
      <c r="D107" s="3"/>
      <c r="E107" s="3"/>
      <c r="F107" s="2"/>
      <c r="G107" s="2"/>
      <c r="H107" s="2"/>
      <c r="I107" s="2"/>
    </row>
    <row r="108" spans="4:9" x14ac:dyDescent="0.2">
      <c r="D108" s="3"/>
      <c r="E108" s="3"/>
      <c r="F108" s="2"/>
      <c r="G108" s="2"/>
      <c r="H108" s="2"/>
      <c r="I108" s="2"/>
    </row>
    <row r="109" spans="4:9" x14ac:dyDescent="0.2">
      <c r="D109" s="3"/>
      <c r="E109" s="3"/>
      <c r="F109" s="2"/>
      <c r="G109" s="2"/>
      <c r="H109" s="2"/>
      <c r="I109" s="2"/>
    </row>
    <row r="110" spans="4:9" x14ac:dyDescent="0.2">
      <c r="D110" s="3"/>
      <c r="E110" s="3"/>
      <c r="F110" s="2"/>
      <c r="G110" s="2"/>
      <c r="H110" s="2"/>
      <c r="I110" s="2"/>
    </row>
    <row r="111" spans="4:9" x14ac:dyDescent="0.2">
      <c r="D111" s="3"/>
      <c r="E111" s="3"/>
      <c r="F111" s="2"/>
      <c r="G111" s="2"/>
      <c r="H111" s="2"/>
      <c r="I111" s="2"/>
    </row>
    <row r="112" spans="4:9" x14ac:dyDescent="0.2">
      <c r="D112" s="3"/>
      <c r="E112" s="3"/>
      <c r="F112" s="2"/>
      <c r="G112" s="2"/>
      <c r="H112" s="2"/>
      <c r="I112" s="2"/>
    </row>
    <row r="113" spans="4:9" x14ac:dyDescent="0.2">
      <c r="D113" s="3"/>
      <c r="E113" s="3"/>
      <c r="F113" s="2"/>
      <c r="G113" s="2"/>
      <c r="H113" s="2"/>
      <c r="I113" s="2"/>
    </row>
    <row r="114" spans="4:9" x14ac:dyDescent="0.2">
      <c r="D114" s="3"/>
      <c r="E114" s="3"/>
      <c r="F114" s="2"/>
      <c r="G114" s="2"/>
      <c r="H114" s="2"/>
      <c r="I114" s="2"/>
    </row>
    <row r="115" spans="4:9" x14ac:dyDescent="0.2">
      <c r="D115" s="3"/>
      <c r="E115" s="3"/>
      <c r="F115" s="2"/>
      <c r="G115" s="2"/>
      <c r="H115" s="2"/>
      <c r="I115" s="2"/>
    </row>
    <row r="116" spans="4:9" x14ac:dyDescent="0.2">
      <c r="D116" s="3"/>
      <c r="E116" s="3"/>
      <c r="F116" s="2"/>
      <c r="G116" s="2"/>
      <c r="H116" s="2"/>
      <c r="I116" s="2"/>
    </row>
    <row r="117" spans="4:9" x14ac:dyDescent="0.2">
      <c r="D117" s="3"/>
      <c r="E117" s="3"/>
      <c r="F117" s="2"/>
      <c r="G117" s="2"/>
      <c r="H117" s="2"/>
      <c r="I117" s="2"/>
    </row>
    <row r="118" spans="4:9" x14ac:dyDescent="0.2">
      <c r="D118" s="3"/>
      <c r="E118" s="3"/>
      <c r="F118" s="2"/>
      <c r="G118" s="2"/>
      <c r="H118" s="2"/>
      <c r="I118" s="2"/>
    </row>
    <row r="119" spans="4:9" x14ac:dyDescent="0.2">
      <c r="D119" s="3"/>
      <c r="E119" s="3"/>
      <c r="F119" s="2"/>
      <c r="G119" s="2"/>
      <c r="H119" s="2"/>
      <c r="I119" s="2"/>
    </row>
    <row r="120" spans="4:9" x14ac:dyDescent="0.2">
      <c r="D120" s="3"/>
      <c r="E120" s="3"/>
      <c r="F120" s="2"/>
      <c r="G120" s="2"/>
      <c r="H120" s="2"/>
      <c r="I120" s="2"/>
    </row>
    <row r="121" spans="4:9" x14ac:dyDescent="0.2">
      <c r="D121" s="3"/>
      <c r="E121" s="3"/>
      <c r="F121" s="2"/>
      <c r="G121" s="2"/>
      <c r="H121" s="2"/>
      <c r="I121" s="2"/>
    </row>
    <row r="122" spans="4:9" x14ac:dyDescent="0.2">
      <c r="D122" s="3"/>
      <c r="E122" s="3"/>
      <c r="F122" s="2"/>
      <c r="G122" s="2"/>
      <c r="H122" s="2"/>
      <c r="I122" s="2"/>
    </row>
    <row r="123" spans="4:9" x14ac:dyDescent="0.2">
      <c r="D123" s="3"/>
      <c r="E123" s="3"/>
      <c r="F123" s="2"/>
      <c r="G123" s="2"/>
      <c r="H123" s="2"/>
      <c r="I123" s="2"/>
    </row>
    <row r="124" spans="4:9" x14ac:dyDescent="0.2">
      <c r="D124" s="3"/>
      <c r="E124" s="3"/>
      <c r="F124" s="2"/>
      <c r="G124" s="2"/>
      <c r="H124" s="2"/>
      <c r="I124" s="2"/>
    </row>
    <row r="125" spans="4:9" x14ac:dyDescent="0.2">
      <c r="D125" s="3"/>
      <c r="E125" s="3"/>
      <c r="F125" s="2"/>
      <c r="G125" s="2"/>
      <c r="H125" s="2"/>
      <c r="I125" s="2"/>
    </row>
    <row r="126" spans="4:9" x14ac:dyDescent="0.2">
      <c r="D126" s="3"/>
      <c r="E126" s="3"/>
      <c r="F126" s="2"/>
      <c r="G126" s="2"/>
      <c r="H126" s="2"/>
      <c r="I126" s="2"/>
    </row>
    <row r="127" spans="4:9" x14ac:dyDescent="0.2">
      <c r="D127" s="3"/>
      <c r="E127" s="3"/>
      <c r="F127" s="2"/>
      <c r="G127" s="2"/>
      <c r="H127" s="2"/>
      <c r="I127" s="2"/>
    </row>
    <row r="128" spans="4:9" x14ac:dyDescent="0.2">
      <c r="D128" s="3"/>
      <c r="E128" s="3"/>
      <c r="F128" s="2"/>
      <c r="G128" s="2"/>
      <c r="H128" s="2"/>
      <c r="I128" s="2"/>
    </row>
    <row r="129" spans="4:9" x14ac:dyDescent="0.2">
      <c r="D129" s="3"/>
      <c r="E129" s="3"/>
      <c r="F129" s="2"/>
      <c r="G129" s="2"/>
      <c r="H129" s="2"/>
      <c r="I129" s="2"/>
    </row>
    <row r="130" spans="4:9" x14ac:dyDescent="0.2">
      <c r="D130" s="3"/>
      <c r="E130" s="3"/>
      <c r="F130" s="2"/>
      <c r="G130" s="2"/>
      <c r="H130" s="2"/>
      <c r="I130" s="2"/>
    </row>
    <row r="131" spans="4:9" x14ac:dyDescent="0.2">
      <c r="D131" s="3"/>
      <c r="E131" s="3"/>
      <c r="F131" s="2"/>
      <c r="G131" s="2"/>
      <c r="H131" s="2"/>
      <c r="I131" s="2"/>
    </row>
    <row r="132" spans="4:9" x14ac:dyDescent="0.2">
      <c r="D132" s="3"/>
      <c r="E132" s="3"/>
      <c r="F132" s="2"/>
      <c r="G132" s="2"/>
      <c r="H132" s="2"/>
      <c r="I132" s="2"/>
    </row>
    <row r="133" spans="4:9" x14ac:dyDescent="0.2">
      <c r="D133" s="3"/>
      <c r="E133" s="3"/>
      <c r="F133" s="2"/>
      <c r="G133" s="2"/>
      <c r="H133" s="2"/>
      <c r="I133" s="2"/>
    </row>
    <row r="134" spans="4:9" x14ac:dyDescent="0.2">
      <c r="D134" s="3"/>
      <c r="E134" s="3"/>
      <c r="F134" s="2"/>
      <c r="G134" s="2"/>
      <c r="H134" s="2"/>
      <c r="I134" s="2"/>
    </row>
    <row r="135" spans="4:9" x14ac:dyDescent="0.2">
      <c r="D135" s="3"/>
      <c r="E135" s="3"/>
      <c r="F135" s="2"/>
      <c r="G135" s="2"/>
      <c r="H135" s="2"/>
      <c r="I135" s="2"/>
    </row>
    <row r="136" spans="4:9" x14ac:dyDescent="0.2">
      <c r="D136" s="3"/>
      <c r="E136" s="3"/>
      <c r="F136" s="2"/>
      <c r="G136" s="2"/>
      <c r="H136" s="2"/>
      <c r="I136" s="2"/>
    </row>
    <row r="137" spans="4:9" x14ac:dyDescent="0.2">
      <c r="D137" s="3"/>
      <c r="E137" s="3"/>
      <c r="F137" s="2"/>
      <c r="G137" s="2"/>
      <c r="H137" s="2"/>
      <c r="I137" s="2"/>
    </row>
    <row r="138" spans="4:9" x14ac:dyDescent="0.2">
      <c r="D138" s="3"/>
      <c r="E138" s="3"/>
      <c r="F138" s="2"/>
      <c r="G138" s="2"/>
      <c r="H138" s="2"/>
      <c r="I138" s="2"/>
    </row>
    <row r="139" spans="4:9" x14ac:dyDescent="0.2">
      <c r="D139" s="3"/>
      <c r="E139" s="3"/>
      <c r="F139" s="2"/>
      <c r="G139" s="2"/>
      <c r="H139" s="2"/>
      <c r="I139" s="2"/>
    </row>
    <row r="140" spans="4:9" x14ac:dyDescent="0.2">
      <c r="D140" s="3"/>
      <c r="E140" s="3"/>
      <c r="F140" s="2"/>
      <c r="G140" s="2"/>
      <c r="H140" s="2"/>
      <c r="I140" s="2"/>
    </row>
    <row r="141" spans="4:9" x14ac:dyDescent="0.2">
      <c r="D141" s="3"/>
      <c r="E141" s="3"/>
      <c r="F141" s="2"/>
      <c r="G141" s="2"/>
      <c r="H141" s="2"/>
      <c r="I141" s="2"/>
    </row>
    <row r="142" spans="4:9" x14ac:dyDescent="0.2">
      <c r="D142" s="3"/>
      <c r="E142" s="3"/>
      <c r="F142" s="2"/>
      <c r="G142" s="2"/>
      <c r="H142" s="2"/>
      <c r="I142" s="2"/>
    </row>
    <row r="143" spans="4:9" x14ac:dyDescent="0.2">
      <c r="D143" s="3"/>
      <c r="E143" s="3"/>
      <c r="F143" s="2"/>
      <c r="G143" s="2"/>
      <c r="H143" s="2"/>
      <c r="I143" s="2"/>
    </row>
    <row r="144" spans="4:9" x14ac:dyDescent="0.2">
      <c r="D144" s="3"/>
      <c r="E144" s="3"/>
      <c r="F144" s="2"/>
      <c r="G144" s="2"/>
      <c r="H144" s="2"/>
      <c r="I144" s="2"/>
    </row>
    <row r="145" spans="4:9" x14ac:dyDescent="0.2">
      <c r="D145" s="3"/>
      <c r="E145" s="3"/>
      <c r="F145" s="2"/>
      <c r="G145" s="2"/>
      <c r="H145" s="2"/>
      <c r="I145" s="2"/>
    </row>
    <row r="146" spans="4:9" x14ac:dyDescent="0.2">
      <c r="D146" s="3"/>
      <c r="E146" s="3"/>
      <c r="F146" s="2"/>
      <c r="G146" s="2"/>
      <c r="H146" s="2"/>
      <c r="I146" s="2"/>
    </row>
    <row r="147" spans="4:9" x14ac:dyDescent="0.2">
      <c r="D147" s="3"/>
      <c r="E147" s="3"/>
      <c r="F147" s="2"/>
      <c r="G147" s="2"/>
      <c r="H147" s="2"/>
      <c r="I147" s="2"/>
    </row>
    <row r="148" spans="4:9" x14ac:dyDescent="0.2">
      <c r="D148" s="3"/>
      <c r="E148" s="3"/>
      <c r="F148" s="2"/>
      <c r="G148" s="2"/>
      <c r="H148" s="2"/>
      <c r="I148" s="2"/>
    </row>
    <row r="149" spans="4:9" x14ac:dyDescent="0.2">
      <c r="D149" s="3"/>
      <c r="E149" s="3"/>
      <c r="F149" s="2"/>
      <c r="G149" s="2"/>
      <c r="H149" s="2"/>
      <c r="I149" s="2"/>
    </row>
    <row r="150" spans="4:9" x14ac:dyDescent="0.2">
      <c r="D150" s="3"/>
      <c r="E150" s="3"/>
      <c r="F150" s="2"/>
      <c r="G150" s="2"/>
      <c r="H150" s="2"/>
      <c r="I150" s="2"/>
    </row>
    <row r="151" spans="4:9" x14ac:dyDescent="0.2">
      <c r="D151" s="3"/>
      <c r="E151" s="3"/>
      <c r="F151" s="2"/>
      <c r="G151" s="2"/>
      <c r="H151" s="2"/>
      <c r="I151" s="2"/>
    </row>
    <row r="152" spans="4:9" x14ac:dyDescent="0.2">
      <c r="D152" s="3"/>
      <c r="E152" s="3"/>
      <c r="F152" s="2"/>
      <c r="G152" s="2"/>
      <c r="H152" s="2"/>
      <c r="I152" s="2"/>
    </row>
    <row r="153" spans="4:9" x14ac:dyDescent="0.2">
      <c r="D153" s="3"/>
      <c r="E153" s="3"/>
      <c r="F153" s="2"/>
      <c r="G153" s="2"/>
      <c r="H153" s="2"/>
      <c r="I153" s="2"/>
    </row>
    <row r="154" spans="4:9" x14ac:dyDescent="0.2">
      <c r="D154" s="3"/>
      <c r="E154" s="3"/>
      <c r="F154" s="2"/>
      <c r="G154" s="2"/>
      <c r="H154" s="2"/>
      <c r="I154" s="2"/>
    </row>
    <row r="155" spans="4:9" x14ac:dyDescent="0.2">
      <c r="D155" s="3"/>
      <c r="E155" s="3"/>
      <c r="F155" s="2"/>
      <c r="G155" s="2"/>
      <c r="H155" s="2"/>
      <c r="I155" s="2"/>
    </row>
    <row r="156" spans="4:9" x14ac:dyDescent="0.2">
      <c r="D156" s="3"/>
      <c r="E156" s="3"/>
      <c r="F156" s="2"/>
      <c r="G156" s="2"/>
      <c r="H156" s="2"/>
      <c r="I156" s="2"/>
    </row>
    <row r="157" spans="4:9" x14ac:dyDescent="0.2">
      <c r="D157" s="3"/>
      <c r="E157" s="3"/>
      <c r="F157" s="2"/>
      <c r="G157" s="2"/>
      <c r="H157" s="2"/>
      <c r="I157" s="2"/>
    </row>
    <row r="158" spans="4:9" x14ac:dyDescent="0.2">
      <c r="D158" s="3"/>
      <c r="E158" s="3"/>
      <c r="F158" s="2"/>
      <c r="G158" s="2"/>
      <c r="H158" s="2"/>
      <c r="I158" s="2"/>
    </row>
    <row r="159" spans="4:9" x14ac:dyDescent="0.2">
      <c r="D159" s="3"/>
      <c r="E159" s="3"/>
      <c r="F159" s="2"/>
      <c r="G159" s="2"/>
      <c r="H159" s="2"/>
      <c r="I159" s="2"/>
    </row>
    <row r="160" spans="4:9" x14ac:dyDescent="0.2">
      <c r="D160" s="3"/>
      <c r="E160" s="3"/>
      <c r="F160" s="2"/>
      <c r="G160" s="2"/>
      <c r="H160" s="2"/>
      <c r="I160" s="2"/>
    </row>
    <row r="161" spans="4:9" x14ac:dyDescent="0.2">
      <c r="D161" s="3"/>
      <c r="E161" s="3"/>
      <c r="F161" s="2"/>
      <c r="G161" s="2"/>
      <c r="H161" s="2"/>
      <c r="I161" s="2"/>
    </row>
    <row r="162" spans="4:9" x14ac:dyDescent="0.2">
      <c r="D162" s="3"/>
      <c r="E162" s="3"/>
      <c r="F162" s="2"/>
      <c r="G162" s="2"/>
      <c r="H162" s="2"/>
      <c r="I162" s="2"/>
    </row>
    <row r="163" spans="4:9" x14ac:dyDescent="0.2">
      <c r="D163" s="3"/>
      <c r="E163" s="3"/>
      <c r="F163" s="2"/>
      <c r="G163" s="2"/>
      <c r="H163" s="2"/>
      <c r="I163" s="2"/>
    </row>
    <row r="164" spans="4:9" x14ac:dyDescent="0.2">
      <c r="D164" s="3"/>
      <c r="E164" s="3"/>
      <c r="F164" s="2"/>
      <c r="G164" s="2"/>
      <c r="H164" s="2"/>
      <c r="I164" s="2"/>
    </row>
    <row r="165" spans="4:9" x14ac:dyDescent="0.2">
      <c r="D165" s="3"/>
      <c r="E165" s="3"/>
      <c r="F165" s="2"/>
      <c r="G165" s="2"/>
      <c r="H165" s="2"/>
      <c r="I165" s="2"/>
    </row>
    <row r="166" spans="4:9" x14ac:dyDescent="0.2">
      <c r="D166" s="3"/>
      <c r="E166" s="3"/>
      <c r="F166" s="2"/>
      <c r="G166" s="2"/>
      <c r="H166" s="2"/>
      <c r="I166" s="2"/>
    </row>
    <row r="167" spans="4:9" x14ac:dyDescent="0.2">
      <c r="D167" s="3"/>
      <c r="E167" s="3"/>
      <c r="F167" s="2"/>
      <c r="G167" s="2"/>
      <c r="H167" s="2"/>
      <c r="I167" s="2"/>
    </row>
    <row r="168" spans="4:9" x14ac:dyDescent="0.2">
      <c r="D168" s="3"/>
      <c r="E168" s="3"/>
      <c r="F168" s="2"/>
      <c r="G168" s="2"/>
      <c r="H168" s="2"/>
      <c r="I168" s="2"/>
    </row>
    <row r="169" spans="4:9" x14ac:dyDescent="0.2">
      <c r="D169" s="3"/>
      <c r="E169" s="3"/>
      <c r="F169" s="2"/>
      <c r="G169" s="2"/>
      <c r="H169" s="2"/>
      <c r="I169" s="2"/>
    </row>
    <row r="170" spans="4:9" x14ac:dyDescent="0.2">
      <c r="D170" s="3"/>
      <c r="E170" s="3"/>
      <c r="F170" s="2"/>
      <c r="G170" s="2"/>
      <c r="H170" s="2"/>
      <c r="I170" s="2"/>
    </row>
    <row r="171" spans="4:9" x14ac:dyDescent="0.2">
      <c r="D171" s="3"/>
      <c r="E171" s="3"/>
      <c r="F171" s="2"/>
      <c r="G171" s="2"/>
      <c r="H171" s="2"/>
      <c r="I171" s="2"/>
    </row>
    <row r="172" spans="4:9" x14ac:dyDescent="0.2">
      <c r="D172" s="3"/>
      <c r="E172" s="3"/>
      <c r="F172" s="2"/>
      <c r="G172" s="2"/>
      <c r="H172" s="2"/>
      <c r="I172" s="2"/>
    </row>
    <row r="173" spans="4:9" x14ac:dyDescent="0.2">
      <c r="D173" s="3"/>
      <c r="E173" s="3"/>
      <c r="F173" s="2"/>
      <c r="G173" s="2"/>
      <c r="H173" s="2"/>
      <c r="I173" s="2"/>
    </row>
    <row r="174" spans="4:9" x14ac:dyDescent="0.2">
      <c r="D174" s="3"/>
      <c r="E174" s="3"/>
      <c r="F174" s="2"/>
      <c r="G174" s="2"/>
      <c r="H174" s="2"/>
      <c r="I174" s="2"/>
    </row>
    <row r="175" spans="4:9" x14ac:dyDescent="0.2">
      <c r="D175" s="3"/>
      <c r="E175" s="3"/>
      <c r="F175" s="2"/>
      <c r="G175" s="2"/>
      <c r="H175" s="2"/>
      <c r="I175" s="2"/>
    </row>
    <row r="176" spans="4:9" x14ac:dyDescent="0.2">
      <c r="D176" s="3"/>
      <c r="E176" s="3"/>
      <c r="F176" s="2"/>
      <c r="G176" s="2"/>
      <c r="H176" s="2"/>
      <c r="I176" s="2"/>
    </row>
    <row r="177" spans="4:9" x14ac:dyDescent="0.2">
      <c r="D177" s="3"/>
      <c r="E177" s="3"/>
      <c r="F177" s="2"/>
      <c r="G177" s="2"/>
      <c r="H177" s="2"/>
      <c r="I177" s="2"/>
    </row>
    <row r="178" spans="4:9" x14ac:dyDescent="0.2">
      <c r="D178" s="3"/>
      <c r="E178" s="3"/>
      <c r="F178" s="2"/>
      <c r="G178" s="2"/>
      <c r="H178" s="2"/>
      <c r="I178" s="2"/>
    </row>
    <row r="179" spans="4:9" x14ac:dyDescent="0.2">
      <c r="D179" s="3"/>
      <c r="E179" s="3"/>
      <c r="F179" s="2"/>
      <c r="G179" s="2"/>
      <c r="H179" s="2"/>
      <c r="I179" s="2"/>
    </row>
    <row r="180" spans="4:9" x14ac:dyDescent="0.2">
      <c r="D180" s="3"/>
      <c r="E180" s="3"/>
      <c r="F180" s="2"/>
      <c r="G180" s="2"/>
      <c r="H180" s="2"/>
      <c r="I180" s="2"/>
    </row>
    <row r="181" spans="4:9" x14ac:dyDescent="0.2">
      <c r="D181" s="3"/>
      <c r="E181" s="3"/>
      <c r="F181" s="2"/>
      <c r="G181" s="2"/>
      <c r="H181" s="2"/>
      <c r="I181" s="2"/>
    </row>
    <row r="182" spans="4:9" x14ac:dyDescent="0.2">
      <c r="D182" s="3"/>
      <c r="E182" s="3"/>
      <c r="F182" s="2"/>
      <c r="G182" s="2"/>
      <c r="H182" s="2"/>
      <c r="I182" s="2"/>
    </row>
    <row r="183" spans="4:9" x14ac:dyDescent="0.2">
      <c r="D183" s="3"/>
      <c r="E183" s="3"/>
      <c r="F183" s="2"/>
      <c r="G183" s="2"/>
      <c r="H183" s="2"/>
      <c r="I183" s="2"/>
    </row>
    <row r="184" spans="4:9" x14ac:dyDescent="0.2">
      <c r="D184" s="3"/>
      <c r="E184" s="3"/>
      <c r="F184" s="2"/>
      <c r="G184" s="2"/>
      <c r="H184" s="2"/>
      <c r="I184" s="2"/>
    </row>
    <row r="185" spans="4:9" x14ac:dyDescent="0.2">
      <c r="D185" s="3"/>
      <c r="E185" s="3"/>
      <c r="F185" s="2"/>
      <c r="G185" s="2"/>
      <c r="H185" s="2"/>
      <c r="I185" s="2"/>
    </row>
    <row r="186" spans="4:9" x14ac:dyDescent="0.2">
      <c r="D186" s="3"/>
      <c r="E186" s="3"/>
      <c r="F186" s="2"/>
      <c r="G186" s="2"/>
      <c r="H186" s="2"/>
      <c r="I186" s="2"/>
    </row>
    <row r="187" spans="4:9" x14ac:dyDescent="0.2">
      <c r="D187" s="3"/>
      <c r="E187" s="3"/>
      <c r="F187" s="2"/>
      <c r="G187" s="2"/>
      <c r="H187" s="2"/>
      <c r="I187" s="2"/>
    </row>
    <row r="188" spans="4:9" x14ac:dyDescent="0.2">
      <c r="D188" s="3"/>
      <c r="E188" s="3"/>
      <c r="F188" s="2"/>
      <c r="G188" s="2"/>
      <c r="H188" s="2"/>
      <c r="I188" s="2"/>
    </row>
    <row r="189" spans="4:9" x14ac:dyDescent="0.2">
      <c r="D189" s="3"/>
      <c r="E189" s="3"/>
      <c r="F189" s="2"/>
      <c r="G189" s="2"/>
      <c r="H189" s="2"/>
      <c r="I189" s="2"/>
    </row>
    <row r="190" spans="4:9" x14ac:dyDescent="0.2">
      <c r="D190" s="3"/>
      <c r="E190" s="3"/>
      <c r="F190" s="2"/>
      <c r="G190" s="2"/>
      <c r="H190" s="2"/>
      <c r="I190" s="2"/>
    </row>
    <row r="191" spans="4:9" x14ac:dyDescent="0.2">
      <c r="D191" s="3"/>
      <c r="E191" s="3"/>
      <c r="F191" s="2"/>
      <c r="G191" s="2"/>
      <c r="H191" s="2"/>
      <c r="I191" s="2"/>
    </row>
    <row r="192" spans="4:9" x14ac:dyDescent="0.2">
      <c r="D192" s="3"/>
      <c r="E192" s="3"/>
      <c r="F192" s="2"/>
      <c r="G192" s="2"/>
      <c r="H192" s="2"/>
      <c r="I192" s="2"/>
    </row>
    <row r="193" spans="4:9" x14ac:dyDescent="0.2">
      <c r="D193" s="3"/>
      <c r="E193" s="3"/>
      <c r="F193" s="2"/>
      <c r="G193" s="2"/>
      <c r="H193" s="2"/>
      <c r="I193" s="2"/>
    </row>
    <row r="194" spans="4:9" x14ac:dyDescent="0.2">
      <c r="D194" s="3"/>
      <c r="E194" s="3"/>
      <c r="F194" s="2"/>
      <c r="G194" s="2"/>
      <c r="H194" s="2"/>
      <c r="I194" s="2"/>
    </row>
    <row r="195" spans="4:9" x14ac:dyDescent="0.2">
      <c r="D195" s="3"/>
      <c r="E195" s="3"/>
      <c r="F195" s="2"/>
      <c r="G195" s="2"/>
      <c r="H195" s="2"/>
      <c r="I195" s="2"/>
    </row>
    <row r="196" spans="4:9" x14ac:dyDescent="0.2">
      <c r="D196" s="3"/>
      <c r="E196" s="3"/>
      <c r="F196" s="2"/>
      <c r="G196" s="2"/>
      <c r="H196" s="2"/>
      <c r="I196" s="2"/>
    </row>
    <row r="197" spans="4:9" x14ac:dyDescent="0.2">
      <c r="D197" s="3"/>
      <c r="E197" s="3"/>
      <c r="F197" s="2"/>
      <c r="G197" s="2"/>
      <c r="H197" s="2"/>
      <c r="I197" s="2"/>
    </row>
    <row r="198" spans="4:9" x14ac:dyDescent="0.2">
      <c r="D198" s="3"/>
      <c r="E198" s="3"/>
      <c r="F198" s="2"/>
      <c r="G198" s="2"/>
      <c r="H198" s="2"/>
      <c r="I198" s="2"/>
    </row>
    <row r="199" spans="4:9" x14ac:dyDescent="0.2">
      <c r="D199" s="3"/>
      <c r="E199" s="3"/>
      <c r="F199" s="2"/>
      <c r="G199" s="2"/>
      <c r="H199" s="2"/>
      <c r="I199" s="2"/>
    </row>
    <row r="200" spans="4:9" x14ac:dyDescent="0.2">
      <c r="D200" s="3"/>
      <c r="E200" s="3"/>
      <c r="F200" s="2"/>
      <c r="G200" s="2"/>
      <c r="H200" s="2"/>
      <c r="I200" s="2"/>
    </row>
  </sheetData>
  <conditionalFormatting sqref="I2:I200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Lists!$D$2:$D$5</xm:f>
          </x14:formula1>
          <xm:sqref>H2:H200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zoomScaleNormal="100" zoomScaleSheetLayoutView="100" workbookViewId="0"/>
  </sheetViews>
  <sheetFormatPr defaultRowHeight="15" x14ac:dyDescent="0.2"/>
  <cols>
    <col min="1" max="1" width="15.19921875" customWidth="1"/>
    <col min="2" max="2" width="11.56640625" customWidth="1"/>
    <col min="3" max="3" width="14.52734375" customWidth="1"/>
    <col min="4" max="4" width="15.87109375" customWidth="1"/>
    <col min="5" max="5" width="13.046875" customWidth="1"/>
    <col min="6" max="6" width="8.7421875" customWidth="1"/>
    <col min="7" max="7" width="10.89453125" customWidth="1"/>
    <col min="8" max="8" width="13.71875" customWidth="1"/>
    <col min="9" max="9" width="11.8359375" customWidth="1"/>
    <col min="10" max="10" width="15.87109375" customWidth="1"/>
    <col min="11" max="11" width="7.3984375" customWidth="1"/>
  </cols>
  <sheetData>
    <row r="1" spans="1:11" x14ac:dyDescent="0.2">
      <c r="A1" s="1" t="s">
        <v>186</v>
      </c>
      <c r="B1" s="1" t="s">
        <v>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5</v>
      </c>
      <c r="H1" s="1" t="s">
        <v>191</v>
      </c>
      <c r="I1" s="1" t="s">
        <v>192</v>
      </c>
      <c r="J1" s="1" t="s">
        <v>193</v>
      </c>
      <c r="K1" s="1" t="s">
        <v>17</v>
      </c>
    </row>
    <row r="2" spans="1:11" x14ac:dyDescent="0.2">
      <c r="A2" t="s">
        <v>36</v>
      </c>
      <c r="B2" t="s">
        <v>30</v>
      </c>
      <c r="C2" s="3">
        <v>46032</v>
      </c>
      <c r="D2" t="s">
        <v>194</v>
      </c>
      <c r="E2" t="s">
        <v>195</v>
      </c>
      <c r="F2" t="s">
        <v>196</v>
      </c>
      <c r="G2" t="s">
        <v>197</v>
      </c>
      <c r="H2" s="2">
        <v>120</v>
      </c>
      <c r="I2" s="2">
        <v>120</v>
      </c>
      <c r="J2" s="3">
        <v>46034</v>
      </c>
    </row>
    <row r="3" spans="1:11" x14ac:dyDescent="0.2">
      <c r="A3" t="s">
        <v>41</v>
      </c>
      <c r="B3" t="s">
        <v>37</v>
      </c>
      <c r="C3" s="3">
        <v>46068</v>
      </c>
      <c r="D3" t="s">
        <v>198</v>
      </c>
      <c r="E3" t="s">
        <v>199</v>
      </c>
      <c r="F3" t="s">
        <v>200</v>
      </c>
      <c r="G3" t="s">
        <v>197</v>
      </c>
      <c r="H3" s="2">
        <v>250</v>
      </c>
      <c r="I3" s="2">
        <v>240</v>
      </c>
      <c r="J3" s="3">
        <v>46069</v>
      </c>
    </row>
    <row r="4" spans="1:11" x14ac:dyDescent="0.2">
      <c r="A4" t="s">
        <v>45</v>
      </c>
      <c r="B4" t="s">
        <v>54</v>
      </c>
      <c r="C4" s="3">
        <v>46162</v>
      </c>
      <c r="D4" t="s">
        <v>201</v>
      </c>
      <c r="E4" t="s">
        <v>202</v>
      </c>
      <c r="F4" t="s">
        <v>200</v>
      </c>
      <c r="G4" t="s">
        <v>203</v>
      </c>
      <c r="H4" s="2">
        <v>500</v>
      </c>
      <c r="I4" s="2"/>
      <c r="J4" s="3"/>
    </row>
    <row r="5" spans="1:11" x14ac:dyDescent="0.2">
      <c r="A5" t="s">
        <v>49</v>
      </c>
      <c r="B5" t="s">
        <v>62</v>
      </c>
      <c r="C5" s="3">
        <v>46167</v>
      </c>
      <c r="D5" t="s">
        <v>204</v>
      </c>
      <c r="E5" t="s">
        <v>205</v>
      </c>
      <c r="F5" t="s">
        <v>206</v>
      </c>
      <c r="G5" t="s">
        <v>207</v>
      </c>
      <c r="H5" s="2">
        <v>300</v>
      </c>
      <c r="I5" s="2"/>
      <c r="J5" s="3"/>
    </row>
    <row r="6" spans="1:11" x14ac:dyDescent="0.2">
      <c r="C6" s="3"/>
      <c r="H6" s="2"/>
      <c r="I6" s="2"/>
      <c r="J6" s="3"/>
    </row>
    <row r="7" spans="1:11" x14ac:dyDescent="0.2">
      <c r="C7" s="3"/>
      <c r="H7" s="2"/>
      <c r="I7" s="2"/>
      <c r="J7" s="3"/>
    </row>
    <row r="8" spans="1:11" x14ac:dyDescent="0.2">
      <c r="C8" s="3"/>
      <c r="H8" s="2"/>
      <c r="I8" s="2"/>
      <c r="J8" s="3"/>
    </row>
    <row r="9" spans="1:11" x14ac:dyDescent="0.2">
      <c r="C9" s="3"/>
      <c r="H9" s="2"/>
      <c r="I9" s="2"/>
      <c r="J9" s="3"/>
    </row>
    <row r="10" spans="1:11" x14ac:dyDescent="0.2">
      <c r="C10" s="3"/>
      <c r="H10" s="2"/>
      <c r="I10" s="2"/>
      <c r="J10" s="3"/>
    </row>
    <row r="11" spans="1:11" x14ac:dyDescent="0.2">
      <c r="C11" s="3"/>
      <c r="H11" s="2"/>
      <c r="I11" s="2"/>
      <c r="J11" s="3"/>
    </row>
    <row r="12" spans="1:11" x14ac:dyDescent="0.2">
      <c r="C12" s="3"/>
      <c r="H12" s="2"/>
      <c r="I12" s="2"/>
      <c r="J12" s="3"/>
    </row>
    <row r="13" spans="1:11" x14ac:dyDescent="0.2">
      <c r="C13" s="3"/>
      <c r="H13" s="2"/>
      <c r="I13" s="2"/>
      <c r="J13" s="3"/>
    </row>
    <row r="14" spans="1:11" x14ac:dyDescent="0.2">
      <c r="C14" s="3"/>
      <c r="H14" s="2"/>
      <c r="I14" s="2"/>
      <c r="J14" s="3"/>
    </row>
    <row r="15" spans="1:11" x14ac:dyDescent="0.2">
      <c r="C15" s="3"/>
      <c r="H15" s="2"/>
      <c r="I15" s="2"/>
      <c r="J15" s="3"/>
    </row>
    <row r="16" spans="1:11" x14ac:dyDescent="0.2">
      <c r="C16" s="3"/>
      <c r="H16" s="2"/>
      <c r="I16" s="2"/>
      <c r="J16" s="3"/>
    </row>
    <row r="17" spans="3:10" x14ac:dyDescent="0.2">
      <c r="C17" s="3"/>
      <c r="H17" s="2"/>
      <c r="I17" s="2"/>
      <c r="J17" s="3"/>
    </row>
    <row r="18" spans="3:10" x14ac:dyDescent="0.2">
      <c r="C18" s="3"/>
      <c r="H18" s="2"/>
      <c r="I18" s="2"/>
      <c r="J18" s="3"/>
    </row>
    <row r="19" spans="3:10" x14ac:dyDescent="0.2">
      <c r="C19" s="3"/>
      <c r="H19" s="2"/>
      <c r="I19" s="2"/>
      <c r="J19" s="3"/>
    </row>
    <row r="20" spans="3:10" x14ac:dyDescent="0.2">
      <c r="C20" s="3"/>
      <c r="H20" s="2"/>
      <c r="I20" s="2"/>
      <c r="J20" s="3"/>
    </row>
    <row r="21" spans="3:10" x14ac:dyDescent="0.2">
      <c r="C21" s="3"/>
      <c r="H21" s="2"/>
      <c r="I21" s="2"/>
      <c r="J21" s="3"/>
    </row>
    <row r="22" spans="3:10" x14ac:dyDescent="0.2">
      <c r="C22" s="3"/>
      <c r="H22" s="2"/>
      <c r="I22" s="2"/>
      <c r="J22" s="3"/>
    </row>
    <row r="23" spans="3:10" x14ac:dyDescent="0.2">
      <c r="C23" s="3"/>
      <c r="H23" s="2"/>
      <c r="I23" s="2"/>
      <c r="J23" s="3"/>
    </row>
    <row r="24" spans="3:10" x14ac:dyDescent="0.2">
      <c r="C24" s="3"/>
      <c r="H24" s="2"/>
      <c r="I24" s="2"/>
      <c r="J24" s="3"/>
    </row>
    <row r="25" spans="3:10" x14ac:dyDescent="0.2">
      <c r="C25" s="3"/>
      <c r="H25" s="2"/>
      <c r="I25" s="2"/>
      <c r="J25" s="3"/>
    </row>
    <row r="26" spans="3:10" x14ac:dyDescent="0.2">
      <c r="C26" s="3"/>
      <c r="H26" s="2"/>
      <c r="I26" s="2"/>
      <c r="J26" s="3"/>
    </row>
    <row r="27" spans="3:10" x14ac:dyDescent="0.2">
      <c r="C27" s="3"/>
      <c r="H27" s="2"/>
      <c r="I27" s="2"/>
      <c r="J27" s="3"/>
    </row>
    <row r="28" spans="3:10" x14ac:dyDescent="0.2">
      <c r="C28" s="3"/>
      <c r="H28" s="2"/>
      <c r="I28" s="2"/>
      <c r="J28" s="3"/>
    </row>
    <row r="29" spans="3:10" x14ac:dyDescent="0.2">
      <c r="C29" s="3"/>
      <c r="H29" s="2"/>
      <c r="I29" s="2"/>
      <c r="J29" s="3"/>
    </row>
    <row r="30" spans="3:10" x14ac:dyDescent="0.2">
      <c r="C30" s="3"/>
      <c r="H30" s="2"/>
      <c r="I30" s="2"/>
      <c r="J30" s="3"/>
    </row>
    <row r="31" spans="3:10" x14ac:dyDescent="0.2">
      <c r="C31" s="3"/>
      <c r="H31" s="2"/>
      <c r="I31" s="2"/>
      <c r="J31" s="3"/>
    </row>
    <row r="32" spans="3:10" x14ac:dyDescent="0.2">
      <c r="C32" s="3"/>
      <c r="H32" s="2"/>
      <c r="I32" s="2"/>
      <c r="J32" s="3"/>
    </row>
    <row r="33" spans="3:10" x14ac:dyDescent="0.2">
      <c r="C33" s="3"/>
      <c r="H33" s="2"/>
      <c r="I33" s="2"/>
      <c r="J33" s="3"/>
    </row>
    <row r="34" spans="3:10" x14ac:dyDescent="0.2">
      <c r="C34" s="3"/>
      <c r="H34" s="2"/>
      <c r="I34" s="2"/>
      <c r="J34" s="3"/>
    </row>
    <row r="35" spans="3:10" x14ac:dyDescent="0.2">
      <c r="C35" s="3"/>
      <c r="H35" s="2"/>
      <c r="I35" s="2"/>
      <c r="J35" s="3"/>
    </row>
    <row r="36" spans="3:10" x14ac:dyDescent="0.2">
      <c r="C36" s="3"/>
      <c r="H36" s="2"/>
      <c r="I36" s="2"/>
      <c r="J36" s="3"/>
    </row>
    <row r="37" spans="3:10" x14ac:dyDescent="0.2">
      <c r="C37" s="3"/>
      <c r="H37" s="2"/>
      <c r="I37" s="2"/>
      <c r="J37" s="3"/>
    </row>
    <row r="38" spans="3:10" x14ac:dyDescent="0.2">
      <c r="C38" s="3"/>
      <c r="H38" s="2"/>
      <c r="I38" s="2"/>
      <c r="J38" s="3"/>
    </row>
    <row r="39" spans="3:10" x14ac:dyDescent="0.2">
      <c r="C39" s="3"/>
      <c r="H39" s="2"/>
      <c r="I39" s="2"/>
      <c r="J39" s="3"/>
    </row>
    <row r="40" spans="3:10" x14ac:dyDescent="0.2">
      <c r="C40" s="3"/>
      <c r="H40" s="2"/>
      <c r="I40" s="2"/>
      <c r="J40" s="3"/>
    </row>
    <row r="41" spans="3:10" x14ac:dyDescent="0.2">
      <c r="C41" s="3"/>
      <c r="H41" s="2"/>
      <c r="I41" s="2"/>
      <c r="J41" s="3"/>
    </row>
    <row r="42" spans="3:10" x14ac:dyDescent="0.2">
      <c r="C42" s="3"/>
      <c r="H42" s="2"/>
      <c r="I42" s="2"/>
      <c r="J42" s="3"/>
    </row>
    <row r="43" spans="3:10" x14ac:dyDescent="0.2">
      <c r="C43" s="3"/>
      <c r="H43" s="2"/>
      <c r="I43" s="2"/>
      <c r="J43" s="3"/>
    </row>
    <row r="44" spans="3:10" x14ac:dyDescent="0.2">
      <c r="C44" s="3"/>
      <c r="H44" s="2"/>
      <c r="I44" s="2"/>
      <c r="J44" s="3"/>
    </row>
    <row r="45" spans="3:10" x14ac:dyDescent="0.2">
      <c r="C45" s="3"/>
      <c r="H45" s="2"/>
      <c r="I45" s="2"/>
      <c r="J45" s="3"/>
    </row>
    <row r="46" spans="3:10" x14ac:dyDescent="0.2">
      <c r="C46" s="3"/>
      <c r="H46" s="2"/>
      <c r="I46" s="2"/>
      <c r="J46" s="3"/>
    </row>
    <row r="47" spans="3:10" x14ac:dyDescent="0.2">
      <c r="C47" s="3"/>
      <c r="H47" s="2"/>
      <c r="I47" s="2"/>
      <c r="J47" s="3"/>
    </row>
    <row r="48" spans="3:10" x14ac:dyDescent="0.2">
      <c r="C48" s="3"/>
      <c r="H48" s="2"/>
      <c r="I48" s="2"/>
      <c r="J48" s="3"/>
    </row>
    <row r="49" spans="3:10" x14ac:dyDescent="0.2">
      <c r="C49" s="3"/>
      <c r="H49" s="2"/>
      <c r="I49" s="2"/>
      <c r="J49" s="3"/>
    </row>
    <row r="50" spans="3:10" x14ac:dyDescent="0.2">
      <c r="C50" s="3"/>
      <c r="H50" s="2"/>
      <c r="I50" s="2"/>
      <c r="J50" s="3"/>
    </row>
    <row r="51" spans="3:10" x14ac:dyDescent="0.2">
      <c r="C51" s="3"/>
      <c r="H51" s="2"/>
      <c r="I51" s="2"/>
      <c r="J51" s="3"/>
    </row>
    <row r="52" spans="3:10" x14ac:dyDescent="0.2">
      <c r="C52" s="3"/>
      <c r="H52" s="2"/>
      <c r="I52" s="2"/>
      <c r="J52" s="3"/>
    </row>
    <row r="53" spans="3:10" x14ac:dyDescent="0.2">
      <c r="C53" s="3"/>
      <c r="H53" s="2"/>
      <c r="I53" s="2"/>
      <c r="J53" s="3"/>
    </row>
    <row r="54" spans="3:10" x14ac:dyDescent="0.2">
      <c r="C54" s="3"/>
      <c r="H54" s="2"/>
      <c r="I54" s="2"/>
      <c r="J54" s="3"/>
    </row>
    <row r="55" spans="3:10" x14ac:dyDescent="0.2">
      <c r="C55" s="3"/>
      <c r="H55" s="2"/>
      <c r="I55" s="2"/>
      <c r="J55" s="3"/>
    </row>
    <row r="56" spans="3:10" x14ac:dyDescent="0.2">
      <c r="C56" s="3"/>
      <c r="H56" s="2"/>
      <c r="I56" s="2"/>
      <c r="J56" s="3"/>
    </row>
    <row r="57" spans="3:10" x14ac:dyDescent="0.2">
      <c r="C57" s="3"/>
      <c r="H57" s="2"/>
      <c r="I57" s="2"/>
      <c r="J57" s="3"/>
    </row>
    <row r="58" spans="3:10" x14ac:dyDescent="0.2">
      <c r="C58" s="3"/>
      <c r="H58" s="2"/>
      <c r="I58" s="2"/>
      <c r="J58" s="3"/>
    </row>
    <row r="59" spans="3:10" x14ac:dyDescent="0.2">
      <c r="C59" s="3"/>
      <c r="H59" s="2"/>
      <c r="I59" s="2"/>
      <c r="J59" s="3"/>
    </row>
    <row r="60" spans="3:10" x14ac:dyDescent="0.2">
      <c r="C60" s="3"/>
      <c r="H60" s="2"/>
      <c r="I60" s="2"/>
      <c r="J60" s="3"/>
    </row>
    <row r="61" spans="3:10" x14ac:dyDescent="0.2">
      <c r="C61" s="3"/>
      <c r="H61" s="2"/>
      <c r="I61" s="2"/>
      <c r="J61" s="3"/>
    </row>
    <row r="62" spans="3:10" x14ac:dyDescent="0.2">
      <c r="C62" s="3"/>
      <c r="H62" s="2"/>
      <c r="I62" s="2"/>
      <c r="J62" s="3"/>
    </row>
    <row r="63" spans="3:10" x14ac:dyDescent="0.2">
      <c r="C63" s="3"/>
      <c r="H63" s="2"/>
      <c r="I63" s="2"/>
      <c r="J63" s="3"/>
    </row>
    <row r="64" spans="3:10" x14ac:dyDescent="0.2">
      <c r="C64" s="3"/>
      <c r="H64" s="2"/>
      <c r="I64" s="2"/>
      <c r="J64" s="3"/>
    </row>
    <row r="65" spans="3:10" x14ac:dyDescent="0.2">
      <c r="C65" s="3"/>
      <c r="H65" s="2"/>
      <c r="I65" s="2"/>
      <c r="J65" s="3"/>
    </row>
    <row r="66" spans="3:10" x14ac:dyDescent="0.2">
      <c r="C66" s="3"/>
      <c r="H66" s="2"/>
      <c r="I66" s="2"/>
      <c r="J66" s="3"/>
    </row>
    <row r="67" spans="3:10" x14ac:dyDescent="0.2">
      <c r="C67" s="3"/>
      <c r="H67" s="2"/>
      <c r="I67" s="2"/>
      <c r="J67" s="3"/>
    </row>
    <row r="68" spans="3:10" x14ac:dyDescent="0.2">
      <c r="C68" s="3"/>
      <c r="H68" s="2"/>
      <c r="I68" s="2"/>
      <c r="J68" s="3"/>
    </row>
    <row r="69" spans="3:10" x14ac:dyDescent="0.2">
      <c r="C69" s="3"/>
      <c r="H69" s="2"/>
      <c r="I69" s="2"/>
      <c r="J69" s="3"/>
    </row>
    <row r="70" spans="3:10" x14ac:dyDescent="0.2">
      <c r="C70" s="3"/>
      <c r="H70" s="2"/>
      <c r="I70" s="2"/>
      <c r="J70" s="3"/>
    </row>
    <row r="71" spans="3:10" x14ac:dyDescent="0.2">
      <c r="C71" s="3"/>
      <c r="H71" s="2"/>
      <c r="I71" s="2"/>
      <c r="J71" s="3"/>
    </row>
    <row r="72" spans="3:10" x14ac:dyDescent="0.2">
      <c r="C72" s="3"/>
      <c r="H72" s="2"/>
      <c r="I72" s="2"/>
      <c r="J72" s="3"/>
    </row>
    <row r="73" spans="3:10" x14ac:dyDescent="0.2">
      <c r="C73" s="3"/>
      <c r="H73" s="2"/>
      <c r="I73" s="2"/>
      <c r="J73" s="3"/>
    </row>
    <row r="74" spans="3:10" x14ac:dyDescent="0.2">
      <c r="C74" s="3"/>
      <c r="H74" s="2"/>
      <c r="I74" s="2"/>
      <c r="J74" s="3"/>
    </row>
    <row r="75" spans="3:10" x14ac:dyDescent="0.2">
      <c r="C75" s="3"/>
      <c r="H75" s="2"/>
      <c r="I75" s="2"/>
      <c r="J75" s="3"/>
    </row>
    <row r="76" spans="3:10" x14ac:dyDescent="0.2">
      <c r="C76" s="3"/>
      <c r="H76" s="2"/>
      <c r="I76" s="2"/>
      <c r="J76" s="3"/>
    </row>
    <row r="77" spans="3:10" x14ac:dyDescent="0.2">
      <c r="C77" s="3"/>
      <c r="H77" s="2"/>
      <c r="I77" s="2"/>
      <c r="J77" s="3"/>
    </row>
    <row r="78" spans="3:10" x14ac:dyDescent="0.2">
      <c r="C78" s="3"/>
      <c r="H78" s="2"/>
      <c r="I78" s="2"/>
      <c r="J78" s="3"/>
    </row>
    <row r="79" spans="3:10" x14ac:dyDescent="0.2">
      <c r="C79" s="3"/>
      <c r="H79" s="2"/>
      <c r="I79" s="2"/>
      <c r="J79" s="3"/>
    </row>
    <row r="80" spans="3:10" x14ac:dyDescent="0.2">
      <c r="C80" s="3"/>
      <c r="H80" s="2"/>
      <c r="I80" s="2"/>
      <c r="J80" s="3"/>
    </row>
    <row r="81" spans="3:10" x14ac:dyDescent="0.2">
      <c r="C81" s="3"/>
      <c r="H81" s="2"/>
      <c r="I81" s="2"/>
      <c r="J81" s="3"/>
    </row>
    <row r="82" spans="3:10" x14ac:dyDescent="0.2">
      <c r="C82" s="3"/>
      <c r="H82" s="2"/>
      <c r="I82" s="2"/>
      <c r="J82" s="3"/>
    </row>
    <row r="83" spans="3:10" x14ac:dyDescent="0.2">
      <c r="C83" s="3"/>
      <c r="H83" s="2"/>
      <c r="I83" s="2"/>
      <c r="J83" s="3"/>
    </row>
    <row r="84" spans="3:10" x14ac:dyDescent="0.2">
      <c r="C84" s="3"/>
      <c r="H84" s="2"/>
      <c r="I84" s="2"/>
      <c r="J84" s="3"/>
    </row>
    <row r="85" spans="3:10" x14ac:dyDescent="0.2">
      <c r="C85" s="3"/>
      <c r="H85" s="2"/>
      <c r="I85" s="2"/>
      <c r="J85" s="3"/>
    </row>
    <row r="86" spans="3:10" x14ac:dyDescent="0.2">
      <c r="C86" s="3"/>
      <c r="H86" s="2"/>
      <c r="I86" s="2"/>
      <c r="J86" s="3"/>
    </row>
    <row r="87" spans="3:10" x14ac:dyDescent="0.2">
      <c r="C87" s="3"/>
      <c r="H87" s="2"/>
      <c r="I87" s="2"/>
      <c r="J87" s="3"/>
    </row>
    <row r="88" spans="3:10" x14ac:dyDescent="0.2">
      <c r="C88" s="3"/>
      <c r="H88" s="2"/>
      <c r="I88" s="2"/>
      <c r="J88" s="3"/>
    </row>
    <row r="89" spans="3:10" x14ac:dyDescent="0.2">
      <c r="C89" s="3"/>
      <c r="H89" s="2"/>
      <c r="I89" s="2"/>
      <c r="J89" s="3"/>
    </row>
    <row r="90" spans="3:10" x14ac:dyDescent="0.2">
      <c r="C90" s="3"/>
      <c r="H90" s="2"/>
      <c r="I90" s="2"/>
      <c r="J90" s="3"/>
    </row>
    <row r="91" spans="3:10" x14ac:dyDescent="0.2">
      <c r="C91" s="3"/>
      <c r="H91" s="2"/>
      <c r="I91" s="2"/>
      <c r="J91" s="3"/>
    </row>
    <row r="92" spans="3:10" x14ac:dyDescent="0.2">
      <c r="C92" s="3"/>
      <c r="H92" s="2"/>
      <c r="I92" s="2"/>
      <c r="J92" s="3"/>
    </row>
    <row r="93" spans="3:10" x14ac:dyDescent="0.2">
      <c r="C93" s="3"/>
      <c r="H93" s="2"/>
      <c r="I93" s="2"/>
      <c r="J93" s="3"/>
    </row>
    <row r="94" spans="3:10" x14ac:dyDescent="0.2">
      <c r="C94" s="3"/>
      <c r="H94" s="2"/>
      <c r="I94" s="2"/>
      <c r="J94" s="3"/>
    </row>
    <row r="95" spans="3:10" x14ac:dyDescent="0.2">
      <c r="C95" s="3"/>
      <c r="H95" s="2"/>
      <c r="I95" s="2"/>
      <c r="J95" s="3"/>
    </row>
    <row r="96" spans="3:10" x14ac:dyDescent="0.2">
      <c r="C96" s="3"/>
      <c r="H96" s="2"/>
      <c r="I96" s="2"/>
      <c r="J96" s="3"/>
    </row>
    <row r="97" spans="3:10" x14ac:dyDescent="0.2">
      <c r="C97" s="3"/>
      <c r="H97" s="2"/>
      <c r="I97" s="2"/>
      <c r="J97" s="3"/>
    </row>
    <row r="98" spans="3:10" x14ac:dyDescent="0.2">
      <c r="C98" s="3"/>
      <c r="H98" s="2"/>
      <c r="I98" s="2"/>
      <c r="J98" s="3"/>
    </row>
    <row r="99" spans="3:10" x14ac:dyDescent="0.2">
      <c r="C99" s="3"/>
      <c r="H99" s="2"/>
      <c r="I99" s="2"/>
      <c r="J99" s="3"/>
    </row>
    <row r="100" spans="3:10" x14ac:dyDescent="0.2">
      <c r="C100" s="3"/>
      <c r="H100" s="2"/>
      <c r="I100" s="2"/>
      <c r="J100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Lists!$E$2:$E$5</xm:f>
          </x14:formula1>
          <xm:sqref>G2:G100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"/>
  <sheetViews>
    <sheetView zoomScaleNormal="100" zoomScaleSheetLayoutView="100" workbookViewId="0"/>
  </sheetViews>
  <sheetFormatPr defaultRowHeight="15" x14ac:dyDescent="0.2"/>
  <cols>
    <col min="1" max="1" width="12.77734375" customWidth="1"/>
    <col min="2" max="2" width="11.56640625" customWidth="1"/>
    <col min="3" max="3" width="15.33203125" customWidth="1"/>
    <col min="4" max="4" width="11.02734375" customWidth="1"/>
    <col min="5" max="5" width="11.97265625" customWidth="1"/>
    <col min="6" max="6" width="7.6640625" customWidth="1"/>
    <col min="7" max="7" width="9.55078125" customWidth="1"/>
    <col min="8" max="8" width="6.1875" customWidth="1"/>
    <col min="9" max="9" width="14.9296875" customWidth="1"/>
    <col min="10" max="10" width="7.3984375" customWidth="1"/>
  </cols>
  <sheetData>
    <row r="1" spans="1:10" x14ac:dyDescent="0.2">
      <c r="A1" s="1" t="s">
        <v>208</v>
      </c>
      <c r="B1" s="1" t="s">
        <v>3</v>
      </c>
      <c r="C1" s="1" t="s">
        <v>209</v>
      </c>
      <c r="D1" s="1" t="s">
        <v>210</v>
      </c>
      <c r="E1" s="1" t="s">
        <v>211</v>
      </c>
      <c r="F1" s="1" t="s">
        <v>5</v>
      </c>
      <c r="G1" s="1" t="s">
        <v>212</v>
      </c>
      <c r="H1" s="1" t="s">
        <v>213</v>
      </c>
      <c r="I1" s="1" t="s">
        <v>214</v>
      </c>
      <c r="J1" s="1" t="s">
        <v>17</v>
      </c>
    </row>
    <row r="2" spans="1:10" x14ac:dyDescent="0.2">
      <c r="A2" t="s">
        <v>215</v>
      </c>
      <c r="B2" t="s">
        <v>30</v>
      </c>
      <c r="C2" t="s">
        <v>216</v>
      </c>
      <c r="D2" s="3">
        <v>46023</v>
      </c>
      <c r="E2" s="3">
        <v>47849</v>
      </c>
      <c r="F2" t="s">
        <v>217</v>
      </c>
      <c r="H2" s="2">
        <v>0</v>
      </c>
    </row>
    <row r="3" spans="1:10" x14ac:dyDescent="0.2">
      <c r="A3" t="s">
        <v>218</v>
      </c>
      <c r="B3" t="s">
        <v>30</v>
      </c>
      <c r="C3" t="s">
        <v>219</v>
      </c>
      <c r="D3" s="3">
        <v>46023</v>
      </c>
      <c r="E3" s="3">
        <v>46388</v>
      </c>
      <c r="F3" t="s">
        <v>217</v>
      </c>
      <c r="H3" s="2">
        <v>0</v>
      </c>
    </row>
    <row r="4" spans="1:10" x14ac:dyDescent="0.2">
      <c r="A4" t="s">
        <v>220</v>
      </c>
      <c r="B4" t="s">
        <v>30</v>
      </c>
      <c r="C4" t="s">
        <v>221</v>
      </c>
      <c r="D4" s="3">
        <v>46023</v>
      </c>
      <c r="E4" s="3">
        <v>47849</v>
      </c>
      <c r="F4" t="s">
        <v>217</v>
      </c>
      <c r="H4" s="2">
        <v>0</v>
      </c>
    </row>
    <row r="5" spans="1:10" x14ac:dyDescent="0.2">
      <c r="A5" t="s">
        <v>222</v>
      </c>
      <c r="B5" t="s">
        <v>37</v>
      </c>
      <c r="C5" t="s">
        <v>216</v>
      </c>
      <c r="D5" s="3">
        <v>46023</v>
      </c>
      <c r="E5" s="3">
        <v>47849</v>
      </c>
      <c r="F5" t="s">
        <v>217</v>
      </c>
      <c r="H5" s="2">
        <v>0</v>
      </c>
    </row>
    <row r="6" spans="1:10" x14ac:dyDescent="0.2">
      <c r="A6" t="s">
        <v>223</v>
      </c>
      <c r="B6" t="s">
        <v>37</v>
      </c>
      <c r="C6" t="s">
        <v>219</v>
      </c>
      <c r="D6" s="3">
        <v>46023</v>
      </c>
      <c r="E6" s="3">
        <v>46388</v>
      </c>
      <c r="F6" t="s">
        <v>217</v>
      </c>
      <c r="H6" s="2">
        <v>0</v>
      </c>
    </row>
    <row r="7" spans="1:10" x14ac:dyDescent="0.2">
      <c r="A7" t="s">
        <v>224</v>
      </c>
      <c r="B7" t="s">
        <v>37</v>
      </c>
      <c r="C7" t="s">
        <v>221</v>
      </c>
      <c r="D7" s="3">
        <v>46023</v>
      </c>
      <c r="E7" s="3">
        <v>47849</v>
      </c>
      <c r="F7" t="s">
        <v>217</v>
      </c>
      <c r="H7" s="2">
        <v>0</v>
      </c>
    </row>
    <row r="8" spans="1:10" x14ac:dyDescent="0.2">
      <c r="A8" t="s">
        <v>225</v>
      </c>
      <c r="B8" t="s">
        <v>42</v>
      </c>
      <c r="C8" t="s">
        <v>216</v>
      </c>
      <c r="D8" s="3">
        <v>46023</v>
      </c>
      <c r="E8" s="3">
        <v>47849</v>
      </c>
      <c r="F8" t="s">
        <v>217</v>
      </c>
      <c r="H8" s="2">
        <v>0</v>
      </c>
    </row>
    <row r="9" spans="1:10" x14ac:dyDescent="0.2">
      <c r="A9" t="s">
        <v>226</v>
      </c>
      <c r="B9" t="s">
        <v>42</v>
      </c>
      <c r="C9" t="s">
        <v>219</v>
      </c>
      <c r="D9" s="3">
        <v>46023</v>
      </c>
      <c r="E9" s="3">
        <v>46388</v>
      </c>
      <c r="F9" t="s">
        <v>217</v>
      </c>
      <c r="H9" s="2">
        <v>0</v>
      </c>
    </row>
    <row r="10" spans="1:10" x14ac:dyDescent="0.2">
      <c r="A10" t="s">
        <v>227</v>
      </c>
      <c r="B10" t="s">
        <v>42</v>
      </c>
      <c r="C10" t="s">
        <v>221</v>
      </c>
      <c r="D10" s="3">
        <v>46023</v>
      </c>
      <c r="E10" s="3">
        <v>47849</v>
      </c>
      <c r="F10" t="s">
        <v>217</v>
      </c>
      <c r="H10" s="2">
        <v>0</v>
      </c>
    </row>
    <row r="11" spans="1:10" x14ac:dyDescent="0.2">
      <c r="A11" t="s">
        <v>228</v>
      </c>
      <c r="B11" t="s">
        <v>46</v>
      </c>
      <c r="C11" t="s">
        <v>216</v>
      </c>
      <c r="D11" s="3">
        <v>46023</v>
      </c>
      <c r="E11" s="3">
        <v>47849</v>
      </c>
      <c r="F11" t="s">
        <v>217</v>
      </c>
      <c r="H11" s="2">
        <v>0</v>
      </c>
    </row>
    <row r="12" spans="1:10" x14ac:dyDescent="0.2">
      <c r="A12" t="s">
        <v>229</v>
      </c>
      <c r="B12" t="s">
        <v>46</v>
      </c>
      <c r="C12" t="s">
        <v>219</v>
      </c>
      <c r="D12" s="3">
        <v>46023</v>
      </c>
      <c r="E12" s="3">
        <v>46388</v>
      </c>
      <c r="F12" t="s">
        <v>217</v>
      </c>
      <c r="H12" s="2">
        <v>0</v>
      </c>
    </row>
    <row r="13" spans="1:10" x14ac:dyDescent="0.2">
      <c r="A13" t="s">
        <v>230</v>
      </c>
      <c r="B13" t="s">
        <v>46</v>
      </c>
      <c r="C13" t="s">
        <v>221</v>
      </c>
      <c r="D13" s="3">
        <v>46023</v>
      </c>
      <c r="E13" s="3">
        <v>47849</v>
      </c>
      <c r="F13" t="s">
        <v>217</v>
      </c>
      <c r="H13" s="2">
        <v>0</v>
      </c>
    </row>
    <row r="14" spans="1:10" x14ac:dyDescent="0.2">
      <c r="A14" t="s">
        <v>231</v>
      </c>
      <c r="B14" t="s">
        <v>50</v>
      </c>
      <c r="C14" t="s">
        <v>216</v>
      </c>
      <c r="D14" s="3">
        <v>46023</v>
      </c>
      <c r="E14" s="3">
        <v>47849</v>
      </c>
      <c r="F14" t="s">
        <v>217</v>
      </c>
      <c r="H14" s="2">
        <v>0</v>
      </c>
    </row>
    <row r="15" spans="1:10" x14ac:dyDescent="0.2">
      <c r="A15" t="s">
        <v>232</v>
      </c>
      <c r="B15" t="s">
        <v>50</v>
      </c>
      <c r="C15" t="s">
        <v>219</v>
      </c>
      <c r="D15" s="3">
        <v>46023</v>
      </c>
      <c r="E15" s="3">
        <v>46388</v>
      </c>
      <c r="F15" t="s">
        <v>217</v>
      </c>
      <c r="H15" s="2">
        <v>0</v>
      </c>
    </row>
    <row r="16" spans="1:10" x14ac:dyDescent="0.2">
      <c r="A16" t="s">
        <v>233</v>
      </c>
      <c r="B16" t="s">
        <v>50</v>
      </c>
      <c r="C16" t="s">
        <v>221</v>
      </c>
      <c r="D16" s="3">
        <v>46023</v>
      </c>
      <c r="E16" s="3">
        <v>47849</v>
      </c>
      <c r="F16" t="s">
        <v>217</v>
      </c>
      <c r="H16" s="2">
        <v>0</v>
      </c>
    </row>
    <row r="17" spans="1:8" x14ac:dyDescent="0.2">
      <c r="A17" t="s">
        <v>234</v>
      </c>
      <c r="B17" t="s">
        <v>54</v>
      </c>
      <c r="C17" t="s">
        <v>216</v>
      </c>
      <c r="D17" s="3">
        <v>46023</v>
      </c>
      <c r="E17" s="3">
        <v>47849</v>
      </c>
      <c r="F17" t="s">
        <v>217</v>
      </c>
      <c r="H17" s="2">
        <v>0</v>
      </c>
    </row>
    <row r="18" spans="1:8" x14ac:dyDescent="0.2">
      <c r="A18" t="s">
        <v>235</v>
      </c>
      <c r="B18" t="s">
        <v>54</v>
      </c>
      <c r="C18" t="s">
        <v>219</v>
      </c>
      <c r="D18" s="3">
        <v>46023</v>
      </c>
      <c r="E18" s="3">
        <v>46388</v>
      </c>
      <c r="F18" t="s">
        <v>217</v>
      </c>
      <c r="H18" s="2">
        <v>0</v>
      </c>
    </row>
    <row r="19" spans="1:8" x14ac:dyDescent="0.2">
      <c r="A19" t="s">
        <v>236</v>
      </c>
      <c r="B19" t="s">
        <v>54</v>
      </c>
      <c r="C19" t="s">
        <v>221</v>
      </c>
      <c r="D19" s="3">
        <v>46023</v>
      </c>
      <c r="E19" s="3">
        <v>47849</v>
      </c>
      <c r="F19" t="s">
        <v>217</v>
      </c>
      <c r="H19" s="2">
        <v>0</v>
      </c>
    </row>
    <row r="20" spans="1:8" x14ac:dyDescent="0.2">
      <c r="A20" t="s">
        <v>237</v>
      </c>
      <c r="B20" t="s">
        <v>58</v>
      </c>
      <c r="C20" t="s">
        <v>216</v>
      </c>
      <c r="D20" s="3">
        <v>46023</v>
      </c>
      <c r="E20" s="3">
        <v>47849</v>
      </c>
      <c r="F20" t="s">
        <v>217</v>
      </c>
      <c r="H20" s="2">
        <v>0</v>
      </c>
    </row>
    <row r="21" spans="1:8" x14ac:dyDescent="0.2">
      <c r="A21" t="s">
        <v>238</v>
      </c>
      <c r="B21" t="s">
        <v>58</v>
      </c>
      <c r="C21" t="s">
        <v>219</v>
      </c>
      <c r="D21" s="3">
        <v>46023</v>
      </c>
      <c r="E21" s="3">
        <v>46388</v>
      </c>
      <c r="F21" t="s">
        <v>217</v>
      </c>
      <c r="H21" s="2">
        <v>0</v>
      </c>
    </row>
    <row r="22" spans="1:8" x14ac:dyDescent="0.2">
      <c r="A22" t="s">
        <v>239</v>
      </c>
      <c r="B22" t="s">
        <v>58</v>
      </c>
      <c r="C22" t="s">
        <v>221</v>
      </c>
      <c r="D22" s="3">
        <v>46023</v>
      </c>
      <c r="E22" s="3">
        <v>47849</v>
      </c>
      <c r="F22" t="s">
        <v>217</v>
      </c>
      <c r="H22" s="2">
        <v>0</v>
      </c>
    </row>
    <row r="23" spans="1:8" x14ac:dyDescent="0.2">
      <c r="A23" t="s">
        <v>240</v>
      </c>
      <c r="B23" t="s">
        <v>62</v>
      </c>
      <c r="C23" t="s">
        <v>216</v>
      </c>
      <c r="D23" s="3">
        <v>46023</v>
      </c>
      <c r="E23" s="3">
        <v>47849</v>
      </c>
      <c r="F23" t="s">
        <v>217</v>
      </c>
      <c r="H23" s="2">
        <v>0</v>
      </c>
    </row>
    <row r="24" spans="1:8" x14ac:dyDescent="0.2">
      <c r="A24" t="s">
        <v>241</v>
      </c>
      <c r="B24" t="s">
        <v>62</v>
      </c>
      <c r="C24" t="s">
        <v>219</v>
      </c>
      <c r="D24" s="3">
        <v>46023</v>
      </c>
      <c r="E24" s="3">
        <v>46388</v>
      </c>
      <c r="F24" t="s">
        <v>217</v>
      </c>
      <c r="H24" s="2">
        <v>0</v>
      </c>
    </row>
    <row r="25" spans="1:8" x14ac:dyDescent="0.2">
      <c r="A25" t="s">
        <v>242</v>
      </c>
      <c r="B25" t="s">
        <v>62</v>
      </c>
      <c r="C25" t="s">
        <v>221</v>
      </c>
      <c r="D25" s="3">
        <v>46023</v>
      </c>
      <c r="E25" s="3">
        <v>47849</v>
      </c>
      <c r="F25" t="s">
        <v>217</v>
      </c>
      <c r="H25" s="2">
        <v>0</v>
      </c>
    </row>
    <row r="26" spans="1:8" x14ac:dyDescent="0.2">
      <c r="A26" t="s">
        <v>243</v>
      </c>
      <c r="B26" t="s">
        <v>66</v>
      </c>
      <c r="C26" t="s">
        <v>216</v>
      </c>
      <c r="D26" s="3">
        <v>46023</v>
      </c>
      <c r="E26" s="3">
        <v>47849</v>
      </c>
      <c r="F26" t="s">
        <v>217</v>
      </c>
      <c r="H26" s="2">
        <v>0</v>
      </c>
    </row>
    <row r="27" spans="1:8" x14ac:dyDescent="0.2">
      <c r="A27" t="s">
        <v>244</v>
      </c>
      <c r="B27" t="s">
        <v>66</v>
      </c>
      <c r="C27" t="s">
        <v>219</v>
      </c>
      <c r="D27" s="3">
        <v>46023</v>
      </c>
      <c r="E27" s="3">
        <v>46388</v>
      </c>
      <c r="F27" t="s">
        <v>217</v>
      </c>
      <c r="H27" s="2">
        <v>0</v>
      </c>
    </row>
    <row r="28" spans="1:8" x14ac:dyDescent="0.2">
      <c r="A28" t="s">
        <v>245</v>
      </c>
      <c r="B28" t="s">
        <v>66</v>
      </c>
      <c r="C28" t="s">
        <v>221</v>
      </c>
      <c r="D28" s="3">
        <v>46023</v>
      </c>
      <c r="E28" s="3">
        <v>47849</v>
      </c>
      <c r="F28" t="s">
        <v>217</v>
      </c>
      <c r="H28" s="2">
        <v>0</v>
      </c>
    </row>
    <row r="29" spans="1:8" x14ac:dyDescent="0.2">
      <c r="A29" t="s">
        <v>246</v>
      </c>
      <c r="B29" t="s">
        <v>71</v>
      </c>
      <c r="C29" t="s">
        <v>216</v>
      </c>
      <c r="D29" s="3">
        <v>46023</v>
      </c>
      <c r="E29" s="3">
        <v>47849</v>
      </c>
      <c r="F29" t="s">
        <v>217</v>
      </c>
      <c r="H29" s="2">
        <v>0</v>
      </c>
    </row>
    <row r="30" spans="1:8" x14ac:dyDescent="0.2">
      <c r="A30" t="s">
        <v>247</v>
      </c>
      <c r="B30" t="s">
        <v>71</v>
      </c>
      <c r="C30" t="s">
        <v>219</v>
      </c>
      <c r="D30" s="3">
        <v>46023</v>
      </c>
      <c r="E30" s="3">
        <v>46388</v>
      </c>
      <c r="F30" t="s">
        <v>217</v>
      </c>
      <c r="H30" s="2">
        <v>0</v>
      </c>
    </row>
    <row r="31" spans="1:8" x14ac:dyDescent="0.2">
      <c r="A31" t="s">
        <v>248</v>
      </c>
      <c r="B31" t="s">
        <v>71</v>
      </c>
      <c r="C31" t="s">
        <v>221</v>
      </c>
      <c r="D31" s="3">
        <v>46023</v>
      </c>
      <c r="E31" s="3">
        <v>47849</v>
      </c>
      <c r="F31" t="s">
        <v>217</v>
      </c>
      <c r="H31" s="2">
        <v>0</v>
      </c>
    </row>
    <row r="32" spans="1:8" x14ac:dyDescent="0.2">
      <c r="D32" s="3"/>
      <c r="E32" s="3"/>
      <c r="H32" s="2"/>
    </row>
    <row r="33" spans="4:8" x14ac:dyDescent="0.2">
      <c r="D33" s="3"/>
      <c r="E33" s="3"/>
      <c r="H33" s="2"/>
    </row>
    <row r="34" spans="4:8" x14ac:dyDescent="0.2">
      <c r="D34" s="3"/>
      <c r="E34" s="3"/>
      <c r="H34" s="2"/>
    </row>
    <row r="35" spans="4:8" x14ac:dyDescent="0.2">
      <c r="D35" s="3"/>
      <c r="E35" s="3"/>
      <c r="H35" s="2"/>
    </row>
    <row r="36" spans="4:8" x14ac:dyDescent="0.2">
      <c r="D36" s="3"/>
      <c r="E36" s="3"/>
      <c r="H36" s="2"/>
    </row>
    <row r="37" spans="4:8" x14ac:dyDescent="0.2">
      <c r="D37" s="3"/>
      <c r="E37" s="3"/>
      <c r="H37" s="2"/>
    </row>
    <row r="38" spans="4:8" x14ac:dyDescent="0.2">
      <c r="D38" s="3"/>
      <c r="E38" s="3"/>
      <c r="H38" s="2"/>
    </row>
    <row r="39" spans="4:8" x14ac:dyDescent="0.2">
      <c r="D39" s="3"/>
      <c r="E39" s="3"/>
      <c r="H39" s="2"/>
    </row>
    <row r="40" spans="4:8" x14ac:dyDescent="0.2">
      <c r="D40" s="3"/>
      <c r="E40" s="3"/>
      <c r="H40" s="2"/>
    </row>
    <row r="41" spans="4:8" x14ac:dyDescent="0.2">
      <c r="D41" s="3"/>
      <c r="E41" s="3"/>
      <c r="H41" s="2"/>
    </row>
    <row r="42" spans="4:8" x14ac:dyDescent="0.2">
      <c r="D42" s="3"/>
      <c r="E42" s="3"/>
      <c r="H42" s="2"/>
    </row>
    <row r="43" spans="4:8" x14ac:dyDescent="0.2">
      <c r="D43" s="3"/>
      <c r="E43" s="3"/>
      <c r="H43" s="2"/>
    </row>
    <row r="44" spans="4:8" x14ac:dyDescent="0.2">
      <c r="D44" s="3"/>
      <c r="E44" s="3"/>
      <c r="H44" s="2"/>
    </row>
    <row r="45" spans="4:8" x14ac:dyDescent="0.2">
      <c r="D45" s="3"/>
      <c r="E45" s="3"/>
      <c r="H45" s="2"/>
    </row>
    <row r="46" spans="4:8" x14ac:dyDescent="0.2">
      <c r="D46" s="3"/>
      <c r="E46" s="3"/>
      <c r="H46" s="2"/>
    </row>
    <row r="47" spans="4:8" x14ac:dyDescent="0.2">
      <c r="D47" s="3"/>
      <c r="E47" s="3"/>
      <c r="H47" s="2"/>
    </row>
    <row r="48" spans="4:8" x14ac:dyDescent="0.2">
      <c r="D48" s="3"/>
      <c r="E48" s="3"/>
      <c r="H48" s="2"/>
    </row>
    <row r="49" spans="4:8" x14ac:dyDescent="0.2">
      <c r="D49" s="3"/>
      <c r="E49" s="3"/>
      <c r="H49" s="2"/>
    </row>
    <row r="50" spans="4:8" x14ac:dyDescent="0.2">
      <c r="D50" s="3"/>
      <c r="E50" s="3"/>
      <c r="H50" s="2"/>
    </row>
    <row r="51" spans="4:8" x14ac:dyDescent="0.2">
      <c r="D51" s="3"/>
      <c r="E51" s="3"/>
      <c r="H51" s="2"/>
    </row>
    <row r="52" spans="4:8" x14ac:dyDescent="0.2">
      <c r="D52" s="3"/>
      <c r="E52" s="3"/>
      <c r="H52" s="2"/>
    </row>
    <row r="53" spans="4:8" x14ac:dyDescent="0.2">
      <c r="D53" s="3"/>
      <c r="E53" s="3"/>
      <c r="H53" s="2"/>
    </row>
    <row r="54" spans="4:8" x14ac:dyDescent="0.2">
      <c r="D54" s="3"/>
      <c r="E54" s="3"/>
      <c r="H54" s="2"/>
    </row>
    <row r="55" spans="4:8" x14ac:dyDescent="0.2">
      <c r="D55" s="3"/>
      <c r="E55" s="3"/>
      <c r="H55" s="2"/>
    </row>
    <row r="56" spans="4:8" x14ac:dyDescent="0.2">
      <c r="D56" s="3"/>
      <c r="E56" s="3"/>
      <c r="H56" s="2"/>
    </row>
    <row r="57" spans="4:8" x14ac:dyDescent="0.2">
      <c r="D57" s="3"/>
      <c r="E57" s="3"/>
      <c r="H57" s="2"/>
    </row>
    <row r="58" spans="4:8" x14ac:dyDescent="0.2">
      <c r="D58" s="3"/>
      <c r="E58" s="3"/>
      <c r="H58" s="2"/>
    </row>
    <row r="59" spans="4:8" x14ac:dyDescent="0.2">
      <c r="D59" s="3"/>
      <c r="E59" s="3"/>
      <c r="H59" s="2"/>
    </row>
    <row r="60" spans="4:8" x14ac:dyDescent="0.2">
      <c r="D60" s="3"/>
      <c r="E60" s="3"/>
      <c r="H60" s="2"/>
    </row>
    <row r="61" spans="4:8" x14ac:dyDescent="0.2">
      <c r="D61" s="3"/>
      <c r="E61" s="3"/>
      <c r="H61" s="2"/>
    </row>
    <row r="62" spans="4:8" x14ac:dyDescent="0.2">
      <c r="D62" s="3"/>
      <c r="E62" s="3"/>
      <c r="H62" s="2"/>
    </row>
    <row r="63" spans="4:8" x14ac:dyDescent="0.2">
      <c r="D63" s="3"/>
      <c r="E63" s="3"/>
      <c r="H63" s="2"/>
    </row>
    <row r="64" spans="4:8" x14ac:dyDescent="0.2">
      <c r="D64" s="3"/>
      <c r="E64" s="3"/>
      <c r="H64" s="2"/>
    </row>
    <row r="65" spans="4:8" x14ac:dyDescent="0.2">
      <c r="D65" s="3"/>
      <c r="E65" s="3"/>
      <c r="H65" s="2"/>
    </row>
    <row r="66" spans="4:8" x14ac:dyDescent="0.2">
      <c r="D66" s="3"/>
      <c r="E66" s="3"/>
      <c r="H66" s="2"/>
    </row>
    <row r="67" spans="4:8" x14ac:dyDescent="0.2">
      <c r="D67" s="3"/>
      <c r="E67" s="3"/>
      <c r="H67" s="2"/>
    </row>
    <row r="68" spans="4:8" x14ac:dyDescent="0.2">
      <c r="D68" s="3"/>
      <c r="E68" s="3"/>
      <c r="H68" s="2"/>
    </row>
    <row r="69" spans="4:8" x14ac:dyDescent="0.2">
      <c r="D69" s="3"/>
      <c r="E69" s="3"/>
      <c r="H69" s="2"/>
    </row>
    <row r="70" spans="4:8" x14ac:dyDescent="0.2">
      <c r="D70" s="3"/>
      <c r="E70" s="3"/>
      <c r="H70" s="2"/>
    </row>
    <row r="71" spans="4:8" x14ac:dyDescent="0.2">
      <c r="D71" s="3"/>
      <c r="E71" s="3"/>
      <c r="H71" s="2"/>
    </row>
    <row r="72" spans="4:8" x14ac:dyDescent="0.2">
      <c r="D72" s="3"/>
      <c r="E72" s="3"/>
      <c r="H72" s="2"/>
    </row>
    <row r="73" spans="4:8" x14ac:dyDescent="0.2">
      <c r="D73" s="3"/>
      <c r="E73" s="3"/>
      <c r="H73" s="2"/>
    </row>
    <row r="74" spans="4:8" x14ac:dyDescent="0.2">
      <c r="D74" s="3"/>
      <c r="E74" s="3"/>
      <c r="H74" s="2"/>
    </row>
    <row r="75" spans="4:8" x14ac:dyDescent="0.2">
      <c r="D75" s="3"/>
      <c r="E75" s="3"/>
      <c r="H75" s="2"/>
    </row>
    <row r="76" spans="4:8" x14ac:dyDescent="0.2">
      <c r="D76" s="3"/>
      <c r="E76" s="3"/>
      <c r="H76" s="2"/>
    </row>
    <row r="77" spans="4:8" x14ac:dyDescent="0.2">
      <c r="D77" s="3"/>
      <c r="E77" s="3"/>
      <c r="H77" s="2"/>
    </row>
    <row r="78" spans="4:8" x14ac:dyDescent="0.2">
      <c r="D78" s="3"/>
      <c r="E78" s="3"/>
      <c r="H78" s="2"/>
    </row>
    <row r="79" spans="4:8" x14ac:dyDescent="0.2">
      <c r="D79" s="3"/>
      <c r="E79" s="3"/>
      <c r="H79" s="2"/>
    </row>
    <row r="80" spans="4:8" x14ac:dyDescent="0.2">
      <c r="D80" s="3"/>
      <c r="E80" s="3"/>
      <c r="H80" s="2"/>
    </row>
    <row r="81" spans="4:8" x14ac:dyDescent="0.2">
      <c r="D81" s="3"/>
      <c r="E81" s="3"/>
      <c r="H81" s="2"/>
    </row>
    <row r="82" spans="4:8" x14ac:dyDescent="0.2">
      <c r="D82" s="3"/>
      <c r="E82" s="3"/>
      <c r="H82" s="2"/>
    </row>
    <row r="83" spans="4:8" x14ac:dyDescent="0.2">
      <c r="D83" s="3"/>
      <c r="E83" s="3"/>
      <c r="H83" s="2"/>
    </row>
    <row r="84" spans="4:8" x14ac:dyDescent="0.2">
      <c r="D84" s="3"/>
      <c r="E84" s="3"/>
      <c r="H84" s="2"/>
    </row>
    <row r="85" spans="4:8" x14ac:dyDescent="0.2">
      <c r="D85" s="3"/>
      <c r="E85" s="3"/>
      <c r="H85" s="2"/>
    </row>
    <row r="86" spans="4:8" x14ac:dyDescent="0.2">
      <c r="D86" s="3"/>
      <c r="E86" s="3"/>
      <c r="H86" s="2"/>
    </row>
    <row r="87" spans="4:8" x14ac:dyDescent="0.2">
      <c r="D87" s="3"/>
      <c r="E87" s="3"/>
      <c r="H87" s="2"/>
    </row>
    <row r="88" spans="4:8" x14ac:dyDescent="0.2">
      <c r="D88" s="3"/>
      <c r="E88" s="3"/>
      <c r="H88" s="2"/>
    </row>
    <row r="89" spans="4:8" x14ac:dyDescent="0.2">
      <c r="D89" s="3"/>
      <c r="E89" s="3"/>
      <c r="H89" s="2"/>
    </row>
    <row r="90" spans="4:8" x14ac:dyDescent="0.2">
      <c r="D90" s="3"/>
      <c r="E90" s="3"/>
      <c r="H90" s="2"/>
    </row>
    <row r="91" spans="4:8" x14ac:dyDescent="0.2">
      <c r="D91" s="3"/>
      <c r="E91" s="3"/>
      <c r="H91" s="2"/>
    </row>
    <row r="92" spans="4:8" x14ac:dyDescent="0.2">
      <c r="D92" s="3"/>
      <c r="E92" s="3"/>
      <c r="H92" s="2"/>
    </row>
    <row r="93" spans="4:8" x14ac:dyDescent="0.2">
      <c r="D93" s="3"/>
      <c r="E93" s="3"/>
      <c r="H93" s="2"/>
    </row>
    <row r="94" spans="4:8" x14ac:dyDescent="0.2">
      <c r="D94" s="3"/>
      <c r="E94" s="3"/>
      <c r="H94" s="2"/>
    </row>
    <row r="95" spans="4:8" x14ac:dyDescent="0.2">
      <c r="D95" s="3"/>
      <c r="E95" s="3"/>
      <c r="H95" s="2"/>
    </row>
    <row r="96" spans="4:8" x14ac:dyDescent="0.2">
      <c r="D96" s="3"/>
      <c r="E96" s="3"/>
      <c r="H96" s="2"/>
    </row>
    <row r="97" spans="4:8" x14ac:dyDescent="0.2">
      <c r="D97" s="3"/>
      <c r="E97" s="3"/>
      <c r="H97" s="2"/>
    </row>
    <row r="98" spans="4:8" x14ac:dyDescent="0.2">
      <c r="D98" s="3"/>
      <c r="E98" s="3"/>
      <c r="H98" s="2"/>
    </row>
    <row r="99" spans="4:8" x14ac:dyDescent="0.2">
      <c r="D99" s="3"/>
      <c r="E99" s="3"/>
      <c r="H99" s="2"/>
    </row>
    <row r="100" spans="4:8" x14ac:dyDescent="0.2">
      <c r="D100" s="3"/>
      <c r="E100" s="3"/>
      <c r="H100" s="2"/>
    </row>
    <row r="101" spans="4:8" x14ac:dyDescent="0.2">
      <c r="D101" s="3"/>
      <c r="E101" s="3"/>
      <c r="H101" s="2"/>
    </row>
    <row r="102" spans="4:8" x14ac:dyDescent="0.2">
      <c r="D102" s="3"/>
      <c r="E102" s="3"/>
      <c r="H102" s="2"/>
    </row>
    <row r="103" spans="4:8" x14ac:dyDescent="0.2">
      <c r="D103" s="3"/>
      <c r="E103" s="3"/>
      <c r="H103" s="2"/>
    </row>
    <row r="104" spans="4:8" x14ac:dyDescent="0.2">
      <c r="D104" s="3"/>
      <c r="E104" s="3"/>
      <c r="H104" s="2"/>
    </row>
    <row r="105" spans="4:8" x14ac:dyDescent="0.2">
      <c r="D105" s="3"/>
      <c r="E105" s="3"/>
      <c r="H105" s="2"/>
    </row>
    <row r="106" spans="4:8" x14ac:dyDescent="0.2">
      <c r="D106" s="3"/>
      <c r="E106" s="3"/>
      <c r="H106" s="2"/>
    </row>
    <row r="107" spans="4:8" x14ac:dyDescent="0.2">
      <c r="D107" s="3"/>
      <c r="E107" s="3"/>
      <c r="H107" s="2"/>
    </row>
    <row r="108" spans="4:8" x14ac:dyDescent="0.2">
      <c r="D108" s="3"/>
      <c r="E108" s="3"/>
      <c r="H108" s="2"/>
    </row>
    <row r="109" spans="4:8" x14ac:dyDescent="0.2">
      <c r="D109" s="3"/>
      <c r="E109" s="3"/>
      <c r="H109" s="2"/>
    </row>
    <row r="110" spans="4:8" x14ac:dyDescent="0.2">
      <c r="D110" s="3"/>
      <c r="E110" s="3"/>
      <c r="H110" s="2"/>
    </row>
    <row r="111" spans="4:8" x14ac:dyDescent="0.2">
      <c r="D111" s="3"/>
      <c r="E111" s="3"/>
      <c r="H111" s="2"/>
    </row>
    <row r="112" spans="4:8" x14ac:dyDescent="0.2">
      <c r="D112" s="3"/>
      <c r="E112" s="3"/>
      <c r="H112" s="2"/>
    </row>
    <row r="113" spans="4:8" x14ac:dyDescent="0.2">
      <c r="D113" s="3"/>
      <c r="E113" s="3"/>
      <c r="H113" s="2"/>
    </row>
    <row r="114" spans="4:8" x14ac:dyDescent="0.2">
      <c r="D114" s="3"/>
      <c r="E114" s="3"/>
      <c r="H114" s="2"/>
    </row>
    <row r="115" spans="4:8" x14ac:dyDescent="0.2">
      <c r="D115" s="3"/>
      <c r="E115" s="3"/>
      <c r="H115" s="2"/>
    </row>
    <row r="116" spans="4:8" x14ac:dyDescent="0.2">
      <c r="D116" s="3"/>
      <c r="E116" s="3"/>
      <c r="H116" s="2"/>
    </row>
    <row r="117" spans="4:8" x14ac:dyDescent="0.2">
      <c r="D117" s="3"/>
      <c r="E117" s="3"/>
      <c r="H117" s="2"/>
    </row>
    <row r="118" spans="4:8" x14ac:dyDescent="0.2">
      <c r="D118" s="3"/>
      <c r="E118" s="3"/>
      <c r="H118" s="2"/>
    </row>
    <row r="119" spans="4:8" x14ac:dyDescent="0.2">
      <c r="D119" s="3"/>
      <c r="E119" s="3"/>
      <c r="H119" s="2"/>
    </row>
    <row r="120" spans="4:8" x14ac:dyDescent="0.2">
      <c r="D120" s="3"/>
      <c r="E120" s="3"/>
      <c r="H120" s="2"/>
    </row>
    <row r="121" spans="4:8" x14ac:dyDescent="0.2">
      <c r="D121" s="3"/>
      <c r="E121" s="3"/>
      <c r="H121" s="2"/>
    </row>
    <row r="122" spans="4:8" x14ac:dyDescent="0.2">
      <c r="D122" s="3"/>
      <c r="E122" s="3"/>
      <c r="H122" s="2"/>
    </row>
    <row r="123" spans="4:8" x14ac:dyDescent="0.2">
      <c r="D123" s="3"/>
      <c r="E123" s="3"/>
      <c r="H123" s="2"/>
    </row>
    <row r="124" spans="4:8" x14ac:dyDescent="0.2">
      <c r="D124" s="3"/>
      <c r="E124" s="3"/>
      <c r="H124" s="2"/>
    </row>
    <row r="125" spans="4:8" x14ac:dyDescent="0.2">
      <c r="D125" s="3"/>
      <c r="E125" s="3"/>
      <c r="H125" s="2"/>
    </row>
    <row r="126" spans="4:8" x14ac:dyDescent="0.2">
      <c r="D126" s="3"/>
      <c r="E126" s="3"/>
      <c r="H126" s="2"/>
    </row>
    <row r="127" spans="4:8" x14ac:dyDescent="0.2">
      <c r="D127" s="3"/>
      <c r="E127" s="3"/>
      <c r="H127" s="2"/>
    </row>
    <row r="128" spans="4:8" x14ac:dyDescent="0.2">
      <c r="D128" s="3"/>
      <c r="E128" s="3"/>
      <c r="H128" s="2"/>
    </row>
    <row r="129" spans="4:8" x14ac:dyDescent="0.2">
      <c r="D129" s="3"/>
      <c r="E129" s="3"/>
      <c r="H129" s="2"/>
    </row>
    <row r="130" spans="4:8" x14ac:dyDescent="0.2">
      <c r="D130" s="3"/>
      <c r="E130" s="3"/>
      <c r="H130" s="2"/>
    </row>
    <row r="131" spans="4:8" x14ac:dyDescent="0.2">
      <c r="D131" s="3"/>
      <c r="E131" s="3"/>
      <c r="H131" s="2"/>
    </row>
    <row r="132" spans="4:8" x14ac:dyDescent="0.2">
      <c r="D132" s="3"/>
      <c r="E132" s="3"/>
      <c r="H132" s="2"/>
    </row>
    <row r="133" spans="4:8" x14ac:dyDescent="0.2">
      <c r="D133" s="3"/>
      <c r="E133" s="3"/>
      <c r="H133" s="2"/>
    </row>
    <row r="134" spans="4:8" x14ac:dyDescent="0.2">
      <c r="D134" s="3"/>
      <c r="E134" s="3"/>
      <c r="H134" s="2"/>
    </row>
    <row r="135" spans="4:8" x14ac:dyDescent="0.2">
      <c r="D135" s="3"/>
      <c r="E135" s="3"/>
      <c r="H135" s="2"/>
    </row>
    <row r="136" spans="4:8" x14ac:dyDescent="0.2">
      <c r="D136" s="3"/>
      <c r="E136" s="3"/>
      <c r="H136" s="2"/>
    </row>
    <row r="137" spans="4:8" x14ac:dyDescent="0.2">
      <c r="D137" s="3"/>
      <c r="E137" s="3"/>
      <c r="H137" s="2"/>
    </row>
    <row r="138" spans="4:8" x14ac:dyDescent="0.2">
      <c r="D138" s="3"/>
      <c r="E138" s="3"/>
      <c r="H138" s="2"/>
    </row>
    <row r="139" spans="4:8" x14ac:dyDescent="0.2">
      <c r="D139" s="3"/>
      <c r="E139" s="3"/>
      <c r="H139" s="2"/>
    </row>
    <row r="140" spans="4:8" x14ac:dyDescent="0.2">
      <c r="D140" s="3"/>
      <c r="E140" s="3"/>
      <c r="H140" s="2"/>
    </row>
    <row r="141" spans="4:8" x14ac:dyDescent="0.2">
      <c r="D141" s="3"/>
      <c r="E141" s="3"/>
      <c r="H141" s="2"/>
    </row>
    <row r="142" spans="4:8" x14ac:dyDescent="0.2">
      <c r="D142" s="3"/>
      <c r="E142" s="3"/>
      <c r="H142" s="2"/>
    </row>
    <row r="143" spans="4:8" x14ac:dyDescent="0.2">
      <c r="D143" s="3"/>
      <c r="E143" s="3"/>
      <c r="H143" s="2"/>
    </row>
    <row r="144" spans="4:8" x14ac:dyDescent="0.2">
      <c r="D144" s="3"/>
      <c r="E144" s="3"/>
      <c r="H144" s="2"/>
    </row>
    <row r="145" spans="4:8" x14ac:dyDescent="0.2">
      <c r="D145" s="3"/>
      <c r="E145" s="3"/>
      <c r="H145" s="2"/>
    </row>
    <row r="146" spans="4:8" x14ac:dyDescent="0.2">
      <c r="D146" s="3"/>
      <c r="E146" s="3"/>
      <c r="H146" s="2"/>
    </row>
    <row r="147" spans="4:8" x14ac:dyDescent="0.2">
      <c r="D147" s="3"/>
      <c r="E147" s="3"/>
      <c r="H147" s="2"/>
    </row>
    <row r="148" spans="4:8" x14ac:dyDescent="0.2">
      <c r="D148" s="3"/>
      <c r="E148" s="3"/>
      <c r="H148" s="2"/>
    </row>
    <row r="149" spans="4:8" x14ac:dyDescent="0.2">
      <c r="D149" s="3"/>
      <c r="E149" s="3"/>
      <c r="H149" s="2"/>
    </row>
    <row r="150" spans="4:8" x14ac:dyDescent="0.2">
      <c r="D150" s="3"/>
      <c r="E150" s="3"/>
      <c r="H150" s="2"/>
    </row>
    <row r="151" spans="4:8" x14ac:dyDescent="0.2">
      <c r="D151" s="3"/>
      <c r="E151" s="3"/>
      <c r="H151" s="2"/>
    </row>
    <row r="152" spans="4:8" x14ac:dyDescent="0.2">
      <c r="D152" s="3"/>
      <c r="E152" s="3"/>
      <c r="H152" s="2"/>
    </row>
    <row r="153" spans="4:8" x14ac:dyDescent="0.2">
      <c r="D153" s="3"/>
      <c r="E153" s="3"/>
      <c r="H153" s="2"/>
    </row>
    <row r="154" spans="4:8" x14ac:dyDescent="0.2">
      <c r="D154" s="3"/>
      <c r="E154" s="3"/>
      <c r="H154" s="2"/>
    </row>
    <row r="155" spans="4:8" x14ac:dyDescent="0.2">
      <c r="D155" s="3"/>
      <c r="E155" s="3"/>
      <c r="H155" s="2"/>
    </row>
    <row r="156" spans="4:8" x14ac:dyDescent="0.2">
      <c r="D156" s="3"/>
      <c r="E156" s="3"/>
      <c r="H156" s="2"/>
    </row>
    <row r="157" spans="4:8" x14ac:dyDescent="0.2">
      <c r="D157" s="3"/>
      <c r="E157" s="3"/>
      <c r="H157" s="2"/>
    </row>
    <row r="158" spans="4:8" x14ac:dyDescent="0.2">
      <c r="D158" s="3"/>
      <c r="E158" s="3"/>
      <c r="H158" s="2"/>
    </row>
    <row r="159" spans="4:8" x14ac:dyDescent="0.2">
      <c r="D159" s="3"/>
      <c r="E159" s="3"/>
      <c r="H159" s="2"/>
    </row>
    <row r="160" spans="4:8" x14ac:dyDescent="0.2">
      <c r="D160" s="3"/>
      <c r="E160" s="3"/>
      <c r="H160" s="2"/>
    </row>
    <row r="161" spans="4:8" x14ac:dyDescent="0.2">
      <c r="D161" s="3"/>
      <c r="E161" s="3"/>
      <c r="H161" s="2"/>
    </row>
    <row r="162" spans="4:8" x14ac:dyDescent="0.2">
      <c r="D162" s="3"/>
      <c r="E162" s="3"/>
      <c r="H162" s="2"/>
    </row>
    <row r="163" spans="4:8" x14ac:dyDescent="0.2">
      <c r="D163" s="3"/>
      <c r="E163" s="3"/>
      <c r="H163" s="2"/>
    </row>
    <row r="164" spans="4:8" x14ac:dyDescent="0.2">
      <c r="D164" s="3"/>
      <c r="E164" s="3"/>
      <c r="H164" s="2"/>
    </row>
    <row r="165" spans="4:8" x14ac:dyDescent="0.2">
      <c r="D165" s="3"/>
      <c r="E165" s="3"/>
      <c r="H165" s="2"/>
    </row>
    <row r="166" spans="4:8" x14ac:dyDescent="0.2">
      <c r="D166" s="3"/>
      <c r="E166" s="3"/>
      <c r="H166" s="2"/>
    </row>
    <row r="167" spans="4:8" x14ac:dyDescent="0.2">
      <c r="D167" s="3"/>
      <c r="E167" s="3"/>
      <c r="H167" s="2"/>
    </row>
    <row r="168" spans="4:8" x14ac:dyDescent="0.2">
      <c r="D168" s="3"/>
      <c r="E168" s="3"/>
      <c r="H168" s="2"/>
    </row>
    <row r="169" spans="4:8" x14ac:dyDescent="0.2">
      <c r="D169" s="3"/>
      <c r="E169" s="3"/>
      <c r="H169" s="2"/>
    </row>
    <row r="170" spans="4:8" x14ac:dyDescent="0.2">
      <c r="D170" s="3"/>
      <c r="E170" s="3"/>
      <c r="H170" s="2"/>
    </row>
    <row r="171" spans="4:8" x14ac:dyDescent="0.2">
      <c r="D171" s="3"/>
      <c r="E171" s="3"/>
      <c r="H171" s="2"/>
    </row>
    <row r="172" spans="4:8" x14ac:dyDescent="0.2">
      <c r="D172" s="3"/>
      <c r="E172" s="3"/>
      <c r="H172" s="2"/>
    </row>
    <row r="173" spans="4:8" x14ac:dyDescent="0.2">
      <c r="D173" s="3"/>
      <c r="E173" s="3"/>
      <c r="H173" s="2"/>
    </row>
    <row r="174" spans="4:8" x14ac:dyDescent="0.2">
      <c r="D174" s="3"/>
      <c r="E174" s="3"/>
      <c r="H174" s="2"/>
    </row>
    <row r="175" spans="4:8" x14ac:dyDescent="0.2">
      <c r="D175" s="3"/>
      <c r="E175" s="3"/>
      <c r="H175" s="2"/>
    </row>
    <row r="176" spans="4:8" x14ac:dyDescent="0.2">
      <c r="D176" s="3"/>
      <c r="E176" s="3"/>
      <c r="H176" s="2"/>
    </row>
    <row r="177" spans="4:8" x14ac:dyDescent="0.2">
      <c r="D177" s="3"/>
      <c r="E177" s="3"/>
      <c r="H177" s="2"/>
    </row>
    <row r="178" spans="4:8" x14ac:dyDescent="0.2">
      <c r="D178" s="3"/>
      <c r="E178" s="3"/>
      <c r="H178" s="2"/>
    </row>
    <row r="179" spans="4:8" x14ac:dyDescent="0.2">
      <c r="D179" s="3"/>
      <c r="E179" s="3"/>
      <c r="H179" s="2"/>
    </row>
    <row r="180" spans="4:8" x14ac:dyDescent="0.2">
      <c r="D180" s="3"/>
      <c r="E180" s="3"/>
      <c r="H180" s="2"/>
    </row>
    <row r="181" spans="4:8" x14ac:dyDescent="0.2">
      <c r="D181" s="3"/>
      <c r="E181" s="3"/>
      <c r="H181" s="2"/>
    </row>
    <row r="182" spans="4:8" x14ac:dyDescent="0.2">
      <c r="D182" s="3"/>
      <c r="E182" s="3"/>
      <c r="H182" s="2"/>
    </row>
    <row r="183" spans="4:8" x14ac:dyDescent="0.2">
      <c r="D183" s="3"/>
      <c r="E183" s="3"/>
      <c r="H183" s="2"/>
    </row>
    <row r="184" spans="4:8" x14ac:dyDescent="0.2">
      <c r="D184" s="3"/>
      <c r="E184" s="3"/>
      <c r="H184" s="2"/>
    </row>
    <row r="185" spans="4:8" x14ac:dyDescent="0.2">
      <c r="D185" s="3"/>
      <c r="E185" s="3"/>
      <c r="H185" s="2"/>
    </row>
    <row r="186" spans="4:8" x14ac:dyDescent="0.2">
      <c r="D186" s="3"/>
      <c r="E186" s="3"/>
      <c r="H186" s="2"/>
    </row>
    <row r="187" spans="4:8" x14ac:dyDescent="0.2">
      <c r="D187" s="3"/>
      <c r="E187" s="3"/>
      <c r="H187" s="2"/>
    </row>
    <row r="188" spans="4:8" x14ac:dyDescent="0.2">
      <c r="D188" s="3"/>
      <c r="E188" s="3"/>
      <c r="H188" s="2"/>
    </row>
    <row r="189" spans="4:8" x14ac:dyDescent="0.2">
      <c r="D189" s="3"/>
      <c r="E189" s="3"/>
      <c r="H189" s="2"/>
    </row>
    <row r="190" spans="4:8" x14ac:dyDescent="0.2">
      <c r="D190" s="3"/>
      <c r="E190" s="3"/>
      <c r="H190" s="2"/>
    </row>
    <row r="191" spans="4:8" x14ac:dyDescent="0.2">
      <c r="D191" s="3"/>
      <c r="E191" s="3"/>
      <c r="H191" s="2"/>
    </row>
    <row r="192" spans="4:8" x14ac:dyDescent="0.2">
      <c r="D192" s="3"/>
      <c r="E192" s="3"/>
      <c r="H192" s="2"/>
    </row>
    <row r="193" spans="4:8" x14ac:dyDescent="0.2">
      <c r="D193" s="3"/>
      <c r="E193" s="3"/>
      <c r="H193" s="2"/>
    </row>
    <row r="194" spans="4:8" x14ac:dyDescent="0.2">
      <c r="D194" s="3"/>
      <c r="E194" s="3"/>
      <c r="H194" s="2"/>
    </row>
    <row r="195" spans="4:8" x14ac:dyDescent="0.2">
      <c r="D195" s="3"/>
      <c r="E195" s="3"/>
      <c r="H195" s="2"/>
    </row>
    <row r="196" spans="4:8" x14ac:dyDescent="0.2">
      <c r="D196" s="3"/>
      <c r="E196" s="3"/>
      <c r="H196" s="2"/>
    </row>
    <row r="197" spans="4:8" x14ac:dyDescent="0.2">
      <c r="D197" s="3"/>
      <c r="E197" s="3"/>
      <c r="H197" s="2"/>
    </row>
    <row r="198" spans="4:8" x14ac:dyDescent="0.2">
      <c r="D198" s="3"/>
      <c r="E198" s="3"/>
      <c r="H198" s="2"/>
    </row>
    <row r="199" spans="4:8" x14ac:dyDescent="0.2">
      <c r="D199" s="3"/>
      <c r="E199" s="3"/>
      <c r="H199" s="2"/>
    </row>
    <row r="200" spans="4:8" x14ac:dyDescent="0.2">
      <c r="D200" s="3"/>
      <c r="E200" s="3"/>
      <c r="H20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Lists!$F$2:$F$7</xm:f>
          </x14:formula1>
          <xm:sqref>C2:C200</xm:sqref>
        </x14:dataValidation>
        <x14:dataValidation type="list" xr:uid="{00000000-0002-0000-0700-000001000000}">
          <x14:formula1>
            <xm:f>Lists!$G$2:$G$5</xm:f>
          </x14:formula1>
          <xm:sqref>F2:F200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zoomScaleNormal="100" zoomScaleSheetLayoutView="100" workbookViewId="0"/>
  </sheetViews>
  <sheetFormatPr defaultRowHeight="15" x14ac:dyDescent="0.2"/>
  <cols>
    <col min="1" max="1" width="12.375" customWidth="1"/>
    <col min="2" max="2" width="11.56640625" customWidth="1"/>
    <col min="3" max="3" width="11.02734375" customWidth="1"/>
    <col min="4" max="4" width="9.01171875" customWidth="1"/>
    <col min="5" max="5" width="17.21875" customWidth="1"/>
    <col min="6" max="6" width="13.1796875" customWidth="1"/>
    <col min="7" max="7" width="11.296875" customWidth="1"/>
    <col min="8" max="8" width="7.3984375" customWidth="1"/>
  </cols>
  <sheetData>
    <row r="1" spans="1:8" x14ac:dyDescent="0.2">
      <c r="A1" s="1" t="s">
        <v>28</v>
      </c>
      <c r="B1" s="1" t="s">
        <v>3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17</v>
      </c>
    </row>
    <row r="2" spans="1:8" x14ac:dyDescent="0.2">
      <c r="A2" t="s">
        <v>36</v>
      </c>
      <c r="B2" t="s">
        <v>30</v>
      </c>
      <c r="C2" t="s">
        <v>254</v>
      </c>
      <c r="D2" s="2">
        <v>160000</v>
      </c>
      <c r="E2" s="2">
        <v>730</v>
      </c>
      <c r="F2" s="4">
        <v>5.1999999999999998E-2</v>
      </c>
      <c r="G2" s="3">
        <v>47118</v>
      </c>
    </row>
    <row r="3" spans="1:8" x14ac:dyDescent="0.2">
      <c r="A3" t="s">
        <v>41</v>
      </c>
      <c r="B3" t="s">
        <v>37</v>
      </c>
      <c r="C3" t="s">
        <v>254</v>
      </c>
      <c r="D3" s="2">
        <v>170000</v>
      </c>
      <c r="E3" s="2">
        <v>760</v>
      </c>
      <c r="F3" s="4">
        <v>5.1999999999999998E-2</v>
      </c>
      <c r="G3" s="3">
        <v>47118</v>
      </c>
    </row>
    <row r="4" spans="1:8" x14ac:dyDescent="0.2">
      <c r="A4" t="s">
        <v>45</v>
      </c>
      <c r="B4" t="s">
        <v>42</v>
      </c>
      <c r="C4" t="s">
        <v>254</v>
      </c>
      <c r="D4" s="2">
        <v>180000</v>
      </c>
      <c r="E4" s="2">
        <v>790</v>
      </c>
      <c r="F4" s="4">
        <v>5.1999999999999998E-2</v>
      </c>
      <c r="G4" s="3">
        <v>47118</v>
      </c>
    </row>
    <row r="5" spans="1:8" x14ac:dyDescent="0.2">
      <c r="A5" t="s">
        <v>49</v>
      </c>
      <c r="B5" t="s">
        <v>46</v>
      </c>
      <c r="C5" t="s">
        <v>254</v>
      </c>
      <c r="D5" s="2">
        <v>190000</v>
      </c>
      <c r="E5" s="2">
        <v>820</v>
      </c>
      <c r="F5" s="4">
        <v>5.1999999999999998E-2</v>
      </c>
      <c r="G5" s="3">
        <v>47118</v>
      </c>
    </row>
    <row r="6" spans="1:8" x14ac:dyDescent="0.2">
      <c r="A6" t="s">
        <v>53</v>
      </c>
      <c r="B6" t="s">
        <v>50</v>
      </c>
      <c r="C6" t="s">
        <v>254</v>
      </c>
      <c r="D6" s="2">
        <v>200000</v>
      </c>
      <c r="E6" s="2">
        <v>850</v>
      </c>
      <c r="F6" s="4">
        <v>5.1999999999999998E-2</v>
      </c>
      <c r="G6" s="3">
        <v>47118</v>
      </c>
    </row>
    <row r="7" spans="1:8" x14ac:dyDescent="0.2">
      <c r="A7" t="s">
        <v>57</v>
      </c>
      <c r="B7" t="s">
        <v>54</v>
      </c>
      <c r="C7" t="s">
        <v>254</v>
      </c>
      <c r="D7" s="2">
        <v>210000</v>
      </c>
      <c r="E7" s="2">
        <v>880</v>
      </c>
      <c r="F7" s="4">
        <v>5.1999999999999998E-2</v>
      </c>
      <c r="G7" s="3">
        <v>47118</v>
      </c>
    </row>
    <row r="8" spans="1:8" x14ac:dyDescent="0.2">
      <c r="A8" t="s">
        <v>61</v>
      </c>
      <c r="B8" t="s">
        <v>58</v>
      </c>
      <c r="C8" t="s">
        <v>254</v>
      </c>
      <c r="D8" s="2">
        <v>220000</v>
      </c>
      <c r="E8" s="2">
        <v>910</v>
      </c>
      <c r="F8" s="4">
        <v>5.1999999999999998E-2</v>
      </c>
      <c r="G8" s="3">
        <v>47118</v>
      </c>
    </row>
    <row r="9" spans="1:8" x14ac:dyDescent="0.2">
      <c r="A9" t="s">
        <v>65</v>
      </c>
      <c r="B9" t="s">
        <v>62</v>
      </c>
      <c r="C9" t="s">
        <v>254</v>
      </c>
      <c r="D9" s="2">
        <v>230000</v>
      </c>
      <c r="E9" s="2">
        <v>940</v>
      </c>
      <c r="F9" s="4">
        <v>5.1999999999999998E-2</v>
      </c>
      <c r="G9" s="3">
        <v>47118</v>
      </c>
    </row>
    <row r="10" spans="1:8" x14ac:dyDescent="0.2">
      <c r="A10" t="s">
        <v>70</v>
      </c>
      <c r="B10" t="s">
        <v>66</v>
      </c>
      <c r="C10" t="s">
        <v>254</v>
      </c>
      <c r="D10" s="2">
        <v>240000</v>
      </c>
      <c r="E10" s="2">
        <v>970</v>
      </c>
      <c r="F10" s="4">
        <v>5.1999999999999998E-2</v>
      </c>
      <c r="G10" s="3">
        <v>47118</v>
      </c>
    </row>
    <row r="11" spans="1:8" x14ac:dyDescent="0.2">
      <c r="A11" t="s">
        <v>74</v>
      </c>
      <c r="B11" t="s">
        <v>71</v>
      </c>
      <c r="C11" t="s">
        <v>254</v>
      </c>
      <c r="D11" s="2">
        <v>250000</v>
      </c>
      <c r="E11" s="2">
        <v>1000</v>
      </c>
      <c r="F11" s="4">
        <v>5.1999999999999998E-2</v>
      </c>
      <c r="G11" s="3">
        <v>47118</v>
      </c>
    </row>
    <row r="12" spans="1:8" x14ac:dyDescent="0.2">
      <c r="D12" s="2"/>
      <c r="E12" s="2"/>
      <c r="F12" s="4"/>
      <c r="G12" s="3"/>
    </row>
    <row r="13" spans="1:8" x14ac:dyDescent="0.2">
      <c r="D13" s="2"/>
      <c r="E13" s="2"/>
      <c r="F13" s="4"/>
      <c r="G13" s="3"/>
    </row>
    <row r="14" spans="1:8" x14ac:dyDescent="0.2">
      <c r="D14" s="2"/>
      <c r="E14" s="2"/>
      <c r="F14" s="4"/>
      <c r="G14" s="3"/>
    </row>
    <row r="15" spans="1:8" x14ac:dyDescent="0.2">
      <c r="D15" s="2"/>
      <c r="E15" s="2"/>
      <c r="F15" s="4"/>
      <c r="G15" s="3"/>
    </row>
    <row r="16" spans="1:8" x14ac:dyDescent="0.2">
      <c r="D16" s="2"/>
      <c r="E16" s="2"/>
      <c r="F16" s="4"/>
      <c r="G16" s="3"/>
    </row>
    <row r="17" spans="4:7" x14ac:dyDescent="0.2">
      <c r="D17" s="2"/>
      <c r="E17" s="2"/>
      <c r="F17" s="4"/>
      <c r="G17" s="3"/>
    </row>
    <row r="18" spans="4:7" x14ac:dyDescent="0.2">
      <c r="D18" s="2"/>
      <c r="E18" s="2"/>
      <c r="F18" s="4"/>
      <c r="G18" s="3"/>
    </row>
    <row r="19" spans="4:7" x14ac:dyDescent="0.2">
      <c r="D19" s="2"/>
      <c r="E19" s="2"/>
      <c r="F19" s="4"/>
      <c r="G19" s="3"/>
    </row>
    <row r="20" spans="4:7" x14ac:dyDescent="0.2">
      <c r="D20" s="2"/>
      <c r="E20" s="2"/>
      <c r="F20" s="4"/>
      <c r="G20" s="3"/>
    </row>
    <row r="21" spans="4:7" x14ac:dyDescent="0.2">
      <c r="D21" s="2"/>
      <c r="E21" s="2"/>
      <c r="F21" s="4"/>
      <c r="G21" s="3"/>
    </row>
    <row r="22" spans="4:7" x14ac:dyDescent="0.2">
      <c r="D22" s="2"/>
      <c r="E22" s="2"/>
      <c r="F22" s="4"/>
      <c r="G22" s="3"/>
    </row>
    <row r="23" spans="4:7" x14ac:dyDescent="0.2">
      <c r="D23" s="2"/>
      <c r="E23" s="2"/>
      <c r="F23" s="4"/>
      <c r="G23" s="3"/>
    </row>
    <row r="24" spans="4:7" x14ac:dyDescent="0.2">
      <c r="D24" s="2"/>
      <c r="E24" s="2"/>
      <c r="F24" s="4"/>
      <c r="G24" s="3"/>
    </row>
    <row r="25" spans="4:7" x14ac:dyDescent="0.2">
      <c r="D25" s="2"/>
      <c r="E25" s="2"/>
      <c r="F25" s="4"/>
      <c r="G25" s="3"/>
    </row>
    <row r="26" spans="4:7" x14ac:dyDescent="0.2">
      <c r="D26" s="2"/>
      <c r="E26" s="2"/>
      <c r="F26" s="4"/>
      <c r="G26" s="3"/>
    </row>
    <row r="27" spans="4:7" x14ac:dyDescent="0.2">
      <c r="D27" s="2"/>
      <c r="E27" s="2"/>
      <c r="F27" s="4"/>
      <c r="G27" s="3"/>
    </row>
    <row r="28" spans="4:7" x14ac:dyDescent="0.2">
      <c r="D28" s="2"/>
      <c r="E28" s="2"/>
      <c r="F28" s="4"/>
      <c r="G28" s="3"/>
    </row>
    <row r="29" spans="4:7" x14ac:dyDescent="0.2">
      <c r="D29" s="2"/>
      <c r="E29" s="2"/>
      <c r="F29" s="4"/>
      <c r="G29" s="3"/>
    </row>
    <row r="30" spans="4:7" x14ac:dyDescent="0.2">
      <c r="D30" s="2"/>
      <c r="E30" s="2"/>
      <c r="F30" s="4"/>
      <c r="G30" s="3"/>
    </row>
    <row r="31" spans="4:7" x14ac:dyDescent="0.2">
      <c r="D31" s="2"/>
      <c r="E31" s="2"/>
      <c r="F31" s="4"/>
      <c r="G31" s="3"/>
    </row>
    <row r="32" spans="4:7" x14ac:dyDescent="0.2">
      <c r="D32" s="2"/>
      <c r="E32" s="2"/>
      <c r="F32" s="4"/>
      <c r="G32" s="3"/>
    </row>
    <row r="33" spans="4:7" x14ac:dyDescent="0.2">
      <c r="D33" s="2"/>
      <c r="E33" s="2"/>
      <c r="F33" s="4"/>
      <c r="G33" s="3"/>
    </row>
    <row r="34" spans="4:7" x14ac:dyDescent="0.2">
      <c r="D34" s="2"/>
      <c r="E34" s="2"/>
      <c r="F34" s="4"/>
      <c r="G34" s="3"/>
    </row>
    <row r="35" spans="4:7" x14ac:dyDescent="0.2">
      <c r="D35" s="2"/>
      <c r="E35" s="2"/>
      <c r="F35" s="4"/>
      <c r="G35" s="3"/>
    </row>
    <row r="36" spans="4:7" x14ac:dyDescent="0.2">
      <c r="D36" s="2"/>
      <c r="E36" s="2"/>
      <c r="F36" s="4"/>
      <c r="G36" s="3"/>
    </row>
    <row r="37" spans="4:7" x14ac:dyDescent="0.2">
      <c r="D37" s="2"/>
      <c r="E37" s="2"/>
      <c r="F37" s="4"/>
      <c r="G37" s="3"/>
    </row>
    <row r="38" spans="4:7" x14ac:dyDescent="0.2">
      <c r="D38" s="2"/>
      <c r="E38" s="2"/>
      <c r="F38" s="4"/>
      <c r="G38" s="3"/>
    </row>
    <row r="39" spans="4:7" x14ac:dyDescent="0.2">
      <c r="D39" s="2"/>
      <c r="E39" s="2"/>
      <c r="F39" s="4"/>
      <c r="G39" s="3"/>
    </row>
    <row r="40" spans="4:7" x14ac:dyDescent="0.2">
      <c r="D40" s="2"/>
      <c r="E40" s="2"/>
      <c r="F40" s="4"/>
      <c r="G40" s="3"/>
    </row>
    <row r="41" spans="4:7" x14ac:dyDescent="0.2">
      <c r="D41" s="2"/>
      <c r="E41" s="2"/>
      <c r="F41" s="4"/>
      <c r="G41" s="3"/>
    </row>
    <row r="42" spans="4:7" x14ac:dyDescent="0.2">
      <c r="D42" s="2"/>
      <c r="E42" s="2"/>
      <c r="F42" s="4"/>
      <c r="G42" s="3"/>
    </row>
    <row r="43" spans="4:7" x14ac:dyDescent="0.2">
      <c r="D43" s="2"/>
      <c r="E43" s="2"/>
      <c r="F43" s="4"/>
      <c r="G43" s="3"/>
    </row>
    <row r="44" spans="4:7" x14ac:dyDescent="0.2">
      <c r="D44" s="2"/>
      <c r="E44" s="2"/>
      <c r="F44" s="4"/>
      <c r="G44" s="3"/>
    </row>
    <row r="45" spans="4:7" x14ac:dyDescent="0.2">
      <c r="D45" s="2"/>
      <c r="E45" s="2"/>
      <c r="F45" s="4"/>
      <c r="G45" s="3"/>
    </row>
    <row r="46" spans="4:7" x14ac:dyDescent="0.2">
      <c r="D46" s="2"/>
      <c r="E46" s="2"/>
      <c r="F46" s="4"/>
      <c r="G46" s="3"/>
    </row>
    <row r="47" spans="4:7" x14ac:dyDescent="0.2">
      <c r="D47" s="2"/>
      <c r="E47" s="2"/>
      <c r="F47" s="4"/>
      <c r="G47" s="3"/>
    </row>
    <row r="48" spans="4:7" x14ac:dyDescent="0.2">
      <c r="D48" s="2"/>
      <c r="E48" s="2"/>
      <c r="F48" s="4"/>
      <c r="G48" s="3"/>
    </row>
    <row r="49" spans="4:7" x14ac:dyDescent="0.2">
      <c r="D49" s="2"/>
      <c r="E49" s="2"/>
      <c r="F49" s="4"/>
      <c r="G49" s="3"/>
    </row>
    <row r="50" spans="4:7" x14ac:dyDescent="0.2">
      <c r="D50" s="2"/>
      <c r="E50" s="2"/>
      <c r="F50" s="4"/>
      <c r="G50" s="3"/>
    </row>
    <row r="51" spans="4:7" x14ac:dyDescent="0.2">
      <c r="D51" s="2"/>
      <c r="E51" s="2"/>
      <c r="F51" s="4"/>
      <c r="G51" s="3"/>
    </row>
    <row r="52" spans="4:7" x14ac:dyDescent="0.2">
      <c r="D52" s="2"/>
      <c r="E52" s="2"/>
      <c r="F52" s="4"/>
      <c r="G52" s="3"/>
    </row>
    <row r="53" spans="4:7" x14ac:dyDescent="0.2">
      <c r="D53" s="2"/>
      <c r="E53" s="2"/>
      <c r="F53" s="4"/>
      <c r="G53" s="3"/>
    </row>
    <row r="54" spans="4:7" x14ac:dyDescent="0.2">
      <c r="D54" s="2"/>
      <c r="E54" s="2"/>
      <c r="F54" s="4"/>
      <c r="G54" s="3"/>
    </row>
    <row r="55" spans="4:7" x14ac:dyDescent="0.2">
      <c r="D55" s="2"/>
      <c r="E55" s="2"/>
      <c r="F55" s="4"/>
      <c r="G55" s="3"/>
    </row>
    <row r="56" spans="4:7" x14ac:dyDescent="0.2">
      <c r="D56" s="2"/>
      <c r="E56" s="2"/>
      <c r="F56" s="4"/>
      <c r="G56" s="3"/>
    </row>
    <row r="57" spans="4:7" x14ac:dyDescent="0.2">
      <c r="D57" s="2"/>
      <c r="E57" s="2"/>
      <c r="F57" s="4"/>
      <c r="G57" s="3"/>
    </row>
    <row r="58" spans="4:7" x14ac:dyDescent="0.2">
      <c r="D58" s="2"/>
      <c r="E58" s="2"/>
      <c r="F58" s="4"/>
      <c r="G58" s="3"/>
    </row>
    <row r="59" spans="4:7" x14ac:dyDescent="0.2">
      <c r="D59" s="2"/>
      <c r="E59" s="2"/>
      <c r="F59" s="4"/>
      <c r="G59" s="3"/>
    </row>
    <row r="60" spans="4:7" x14ac:dyDescent="0.2">
      <c r="D60" s="2"/>
      <c r="E60" s="2"/>
      <c r="F60" s="4"/>
      <c r="G60" s="3"/>
    </row>
    <row r="61" spans="4:7" x14ac:dyDescent="0.2">
      <c r="D61" s="2"/>
      <c r="E61" s="2"/>
      <c r="F61" s="4"/>
      <c r="G61" s="3"/>
    </row>
    <row r="62" spans="4:7" x14ac:dyDescent="0.2">
      <c r="D62" s="2"/>
      <c r="E62" s="2"/>
      <c r="F62" s="4"/>
      <c r="G62" s="3"/>
    </row>
    <row r="63" spans="4:7" x14ac:dyDescent="0.2">
      <c r="D63" s="2"/>
      <c r="E63" s="2"/>
      <c r="F63" s="4"/>
      <c r="G63" s="3"/>
    </row>
    <row r="64" spans="4:7" x14ac:dyDescent="0.2">
      <c r="D64" s="2"/>
      <c r="E64" s="2"/>
      <c r="F64" s="4"/>
      <c r="G64" s="3"/>
    </row>
    <row r="65" spans="4:7" x14ac:dyDescent="0.2">
      <c r="D65" s="2"/>
      <c r="E65" s="2"/>
      <c r="F65" s="4"/>
      <c r="G65" s="3"/>
    </row>
    <row r="66" spans="4:7" x14ac:dyDescent="0.2">
      <c r="D66" s="2"/>
      <c r="E66" s="2"/>
      <c r="F66" s="4"/>
      <c r="G66" s="3"/>
    </row>
    <row r="67" spans="4:7" x14ac:dyDescent="0.2">
      <c r="D67" s="2"/>
      <c r="E67" s="2"/>
      <c r="F67" s="4"/>
      <c r="G67" s="3"/>
    </row>
    <row r="68" spans="4:7" x14ac:dyDescent="0.2">
      <c r="D68" s="2"/>
      <c r="E68" s="2"/>
      <c r="F68" s="4"/>
      <c r="G68" s="3"/>
    </row>
    <row r="69" spans="4:7" x14ac:dyDescent="0.2">
      <c r="D69" s="2"/>
      <c r="E69" s="2"/>
      <c r="F69" s="4"/>
      <c r="G69" s="3"/>
    </row>
    <row r="70" spans="4:7" x14ac:dyDescent="0.2">
      <c r="D70" s="2"/>
      <c r="E70" s="2"/>
      <c r="F70" s="4"/>
      <c r="G70" s="3"/>
    </row>
    <row r="71" spans="4:7" x14ac:dyDescent="0.2">
      <c r="D71" s="2"/>
      <c r="E71" s="2"/>
      <c r="F71" s="4"/>
      <c r="G71" s="3"/>
    </row>
    <row r="72" spans="4:7" x14ac:dyDescent="0.2">
      <c r="D72" s="2"/>
      <c r="E72" s="2"/>
      <c r="F72" s="4"/>
      <c r="G72" s="3"/>
    </row>
    <row r="73" spans="4:7" x14ac:dyDescent="0.2">
      <c r="D73" s="2"/>
      <c r="E73" s="2"/>
      <c r="F73" s="4"/>
      <c r="G73" s="3"/>
    </row>
    <row r="74" spans="4:7" x14ac:dyDescent="0.2">
      <c r="D74" s="2"/>
      <c r="E74" s="2"/>
      <c r="F74" s="4"/>
      <c r="G74" s="3"/>
    </row>
    <row r="75" spans="4:7" x14ac:dyDescent="0.2">
      <c r="D75" s="2"/>
      <c r="E75" s="2"/>
      <c r="F75" s="4"/>
      <c r="G75" s="3"/>
    </row>
    <row r="76" spans="4:7" x14ac:dyDescent="0.2">
      <c r="D76" s="2"/>
      <c r="E76" s="2"/>
      <c r="F76" s="4"/>
      <c r="G76" s="3"/>
    </row>
    <row r="77" spans="4:7" x14ac:dyDescent="0.2">
      <c r="D77" s="2"/>
      <c r="E77" s="2"/>
      <c r="F77" s="4"/>
      <c r="G77" s="3"/>
    </row>
    <row r="78" spans="4:7" x14ac:dyDescent="0.2">
      <c r="D78" s="2"/>
      <c r="E78" s="2"/>
      <c r="F78" s="4"/>
      <c r="G78" s="3"/>
    </row>
    <row r="79" spans="4:7" x14ac:dyDescent="0.2">
      <c r="D79" s="2"/>
      <c r="E79" s="2"/>
      <c r="F79" s="4"/>
      <c r="G79" s="3"/>
    </row>
    <row r="80" spans="4:7" x14ac:dyDescent="0.2">
      <c r="D80" s="2"/>
      <c r="E80" s="2"/>
      <c r="F80" s="4"/>
      <c r="G80" s="3"/>
    </row>
    <row r="81" spans="4:7" x14ac:dyDescent="0.2">
      <c r="D81" s="2"/>
      <c r="E81" s="2"/>
      <c r="F81" s="4"/>
      <c r="G81" s="3"/>
    </row>
    <row r="82" spans="4:7" x14ac:dyDescent="0.2">
      <c r="D82" s="2"/>
      <c r="E82" s="2"/>
      <c r="F82" s="4"/>
      <c r="G82" s="3"/>
    </row>
    <row r="83" spans="4:7" x14ac:dyDescent="0.2">
      <c r="D83" s="2"/>
      <c r="E83" s="2"/>
      <c r="F83" s="4"/>
      <c r="G83" s="3"/>
    </row>
    <row r="84" spans="4:7" x14ac:dyDescent="0.2">
      <c r="D84" s="2"/>
      <c r="E84" s="2"/>
      <c r="F84" s="4"/>
      <c r="G84" s="3"/>
    </row>
    <row r="85" spans="4:7" x14ac:dyDescent="0.2">
      <c r="D85" s="2"/>
      <c r="E85" s="2"/>
      <c r="F85" s="4"/>
      <c r="G85" s="3"/>
    </row>
    <row r="86" spans="4:7" x14ac:dyDescent="0.2">
      <c r="D86" s="2"/>
      <c r="E86" s="2"/>
      <c r="F86" s="4"/>
      <c r="G86" s="3"/>
    </row>
    <row r="87" spans="4:7" x14ac:dyDescent="0.2">
      <c r="D87" s="2"/>
      <c r="E87" s="2"/>
      <c r="F87" s="4"/>
      <c r="G87" s="3"/>
    </row>
    <row r="88" spans="4:7" x14ac:dyDescent="0.2">
      <c r="D88" s="2"/>
      <c r="E88" s="2"/>
      <c r="F88" s="4"/>
      <c r="G88" s="3"/>
    </row>
    <row r="89" spans="4:7" x14ac:dyDescent="0.2">
      <c r="D89" s="2"/>
      <c r="E89" s="2"/>
      <c r="F89" s="4"/>
      <c r="G89" s="3"/>
    </row>
    <row r="90" spans="4:7" x14ac:dyDescent="0.2">
      <c r="D90" s="2"/>
      <c r="E90" s="2"/>
      <c r="F90" s="4"/>
      <c r="G90" s="3"/>
    </row>
    <row r="91" spans="4:7" x14ac:dyDescent="0.2">
      <c r="D91" s="2"/>
      <c r="E91" s="2"/>
      <c r="F91" s="4"/>
      <c r="G91" s="3"/>
    </row>
    <row r="92" spans="4:7" x14ac:dyDescent="0.2">
      <c r="D92" s="2"/>
      <c r="E92" s="2"/>
      <c r="F92" s="4"/>
      <c r="G92" s="3"/>
    </row>
    <row r="93" spans="4:7" x14ac:dyDescent="0.2">
      <c r="D93" s="2"/>
      <c r="E93" s="2"/>
      <c r="F93" s="4"/>
      <c r="G93" s="3"/>
    </row>
    <row r="94" spans="4:7" x14ac:dyDescent="0.2">
      <c r="D94" s="2"/>
      <c r="E94" s="2"/>
      <c r="F94" s="4"/>
      <c r="G94" s="3"/>
    </row>
    <row r="95" spans="4:7" x14ac:dyDescent="0.2">
      <c r="D95" s="2"/>
      <c r="E95" s="2"/>
      <c r="F95" s="4"/>
      <c r="G95" s="3"/>
    </row>
    <row r="96" spans="4:7" x14ac:dyDescent="0.2">
      <c r="D96" s="2"/>
      <c r="E96" s="2"/>
      <c r="F96" s="4"/>
      <c r="G96" s="3"/>
    </row>
    <row r="97" spans="4:7" x14ac:dyDescent="0.2">
      <c r="D97" s="2"/>
      <c r="E97" s="2"/>
      <c r="F97" s="4"/>
      <c r="G97" s="3"/>
    </row>
    <row r="98" spans="4:7" x14ac:dyDescent="0.2">
      <c r="D98" s="2"/>
      <c r="E98" s="2"/>
      <c r="F98" s="4"/>
      <c r="G98" s="3"/>
    </row>
    <row r="99" spans="4:7" x14ac:dyDescent="0.2">
      <c r="D99" s="2"/>
      <c r="E99" s="2"/>
      <c r="F99" s="4"/>
      <c r="G99" s="3"/>
    </row>
    <row r="100" spans="4:7" x14ac:dyDescent="0.2">
      <c r="D100" s="2"/>
      <c r="E100" s="2"/>
      <c r="F100" s="4"/>
      <c r="G100" s="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zoomScaleNormal="100" zoomScaleSheetLayoutView="100" workbookViewId="0"/>
  </sheetViews>
  <sheetFormatPr defaultRowHeight="15" x14ac:dyDescent="0.2"/>
  <cols>
    <col min="1" max="1" width="13.046875" customWidth="1"/>
    <col min="2" max="2" width="16.0078125" customWidth="1"/>
    <col min="3" max="3" width="14.390625" customWidth="1"/>
    <col min="4" max="4" width="7.80078125" customWidth="1"/>
    <col min="5" max="5" width="7.12890625" customWidth="1"/>
    <col min="6" max="6" width="6.45703125" customWidth="1"/>
    <col min="7" max="7" width="18.83203125" customWidth="1"/>
    <col min="8" max="8" width="7.3984375" customWidth="1"/>
  </cols>
  <sheetData>
    <row r="1" spans="1:8" x14ac:dyDescent="0.2">
      <c r="A1" s="1" t="s">
        <v>189</v>
      </c>
      <c r="B1" s="1" t="s">
        <v>255</v>
      </c>
      <c r="C1" s="1" t="s">
        <v>256</v>
      </c>
      <c r="D1" s="1" t="s">
        <v>14</v>
      </c>
      <c r="E1" s="1" t="s">
        <v>15</v>
      </c>
      <c r="F1" s="1" t="s">
        <v>257</v>
      </c>
      <c r="G1" s="1" t="s">
        <v>258</v>
      </c>
      <c r="H1" s="1" t="s">
        <v>17</v>
      </c>
    </row>
    <row r="2" spans="1:8" x14ac:dyDescent="0.2">
      <c r="A2" t="s">
        <v>195</v>
      </c>
      <c r="B2" t="s">
        <v>259</v>
      </c>
      <c r="C2" t="s">
        <v>260</v>
      </c>
      <c r="F2" t="s">
        <v>32</v>
      </c>
      <c r="G2" t="s">
        <v>119</v>
      </c>
    </row>
    <row r="3" spans="1:8" x14ac:dyDescent="0.2">
      <c r="A3" t="s">
        <v>199</v>
      </c>
      <c r="B3" t="s">
        <v>261</v>
      </c>
      <c r="C3" t="s">
        <v>262</v>
      </c>
      <c r="F3" t="s">
        <v>32</v>
      </c>
      <c r="G3" t="s">
        <v>119</v>
      </c>
    </row>
    <row r="4" spans="1:8" x14ac:dyDescent="0.2">
      <c r="A4" t="s">
        <v>202</v>
      </c>
      <c r="B4" t="s">
        <v>263</v>
      </c>
      <c r="C4" t="s">
        <v>264</v>
      </c>
      <c r="F4" t="s">
        <v>32</v>
      </c>
      <c r="G4" t="s">
        <v>265</v>
      </c>
    </row>
    <row r="5" spans="1:8" x14ac:dyDescent="0.2">
      <c r="A5" t="s">
        <v>205</v>
      </c>
      <c r="B5" t="s">
        <v>266</v>
      </c>
      <c r="C5" t="s">
        <v>267</v>
      </c>
      <c r="F5" t="s">
        <v>32</v>
      </c>
      <c r="G5" t="s">
        <v>265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zoomScaleNormal="100" zoomScaleSheetLayoutView="100" workbookViewId="0"/>
  </sheetViews>
  <sheetFormatPr defaultRowHeight="15" x14ac:dyDescent="0.2"/>
  <cols>
    <col min="1" max="1" width="11.43359375" customWidth="1"/>
    <col min="2" max="2" width="10.4921875" customWidth="1"/>
    <col min="3" max="3" width="12.10546875" customWidth="1"/>
    <col min="4" max="4" width="12.64453125" customWidth="1"/>
    <col min="5" max="5" width="16.27734375" customWidth="1"/>
    <col min="6" max="6" width="15.73828125" customWidth="1"/>
    <col min="7" max="7" width="13.85546875" customWidth="1"/>
  </cols>
  <sheetData>
    <row r="1" spans="1:7" x14ac:dyDescent="0.2">
      <c r="A1" s="1" t="s">
        <v>268</v>
      </c>
      <c r="B1" s="1" t="s">
        <v>5</v>
      </c>
      <c r="C1" s="1" t="s">
        <v>269</v>
      </c>
      <c r="D1" s="1" t="s">
        <v>270</v>
      </c>
      <c r="E1" s="1" t="s">
        <v>271</v>
      </c>
      <c r="F1" s="1" t="s">
        <v>209</v>
      </c>
      <c r="G1" s="1" t="s">
        <v>272</v>
      </c>
    </row>
    <row r="2" spans="1:7" x14ac:dyDescent="0.2">
      <c r="A2" t="s">
        <v>34</v>
      </c>
      <c r="B2" t="s">
        <v>69</v>
      </c>
      <c r="C2" t="s">
        <v>120</v>
      </c>
      <c r="D2" t="s">
        <v>136</v>
      </c>
      <c r="E2" t="s">
        <v>203</v>
      </c>
      <c r="F2" t="s">
        <v>216</v>
      </c>
      <c r="G2" t="s">
        <v>217</v>
      </c>
    </row>
    <row r="3" spans="1:7" x14ac:dyDescent="0.2">
      <c r="A3" t="s">
        <v>40</v>
      </c>
      <c r="B3" t="s">
        <v>35</v>
      </c>
      <c r="C3" t="s">
        <v>273</v>
      </c>
      <c r="D3" t="s">
        <v>274</v>
      </c>
      <c r="E3" t="s">
        <v>207</v>
      </c>
      <c r="F3" t="s">
        <v>219</v>
      </c>
      <c r="G3" t="s">
        <v>275</v>
      </c>
    </row>
    <row r="4" spans="1:7" x14ac:dyDescent="0.2">
      <c r="A4" t="s">
        <v>276</v>
      </c>
      <c r="B4" t="s">
        <v>277</v>
      </c>
      <c r="C4" t="s">
        <v>278</v>
      </c>
      <c r="D4" t="s">
        <v>175</v>
      </c>
      <c r="E4" t="s">
        <v>197</v>
      </c>
      <c r="F4" t="s">
        <v>221</v>
      </c>
      <c r="G4" t="s">
        <v>279</v>
      </c>
    </row>
    <row r="5" spans="1:7" x14ac:dyDescent="0.2">
      <c r="A5" t="s">
        <v>280</v>
      </c>
      <c r="B5" t="s">
        <v>281</v>
      </c>
      <c r="C5" t="s">
        <v>282</v>
      </c>
      <c r="D5" t="s">
        <v>170</v>
      </c>
      <c r="E5" t="s">
        <v>283</v>
      </c>
      <c r="F5" t="s">
        <v>284</v>
      </c>
      <c r="G5" t="s">
        <v>285</v>
      </c>
    </row>
    <row r="6" spans="1:7" x14ac:dyDescent="0.2">
      <c r="A6" t="s">
        <v>286</v>
      </c>
      <c r="B6" t="s">
        <v>287</v>
      </c>
      <c r="F6" t="s">
        <v>288</v>
      </c>
    </row>
    <row r="7" spans="1:7" x14ac:dyDescent="0.2">
      <c r="F7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Landlords</vt:lpstr>
      <vt:lpstr>Properties</vt:lpstr>
      <vt:lpstr>Tenants</vt:lpstr>
      <vt:lpstr>Tenancies</vt:lpstr>
      <vt:lpstr>Rent Payments</vt:lpstr>
      <vt:lpstr>Maintenance</vt:lpstr>
      <vt:lpstr>Certificates</vt:lpstr>
      <vt:lpstr>Mortgages</vt:lpstr>
      <vt:lpstr>Contractors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Jandhyala</dc:creator>
  <dcterms:created xsi:type="dcterms:W3CDTF">2026-05-31T21:44:48Z</dcterms:created>
</cp:coreProperties>
</file>